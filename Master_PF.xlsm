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sht\Desktop\Projects\Analytics\Git Hub\Personal Finance\"/>
    </mc:Choice>
  </mc:AlternateContent>
  <xr:revisionPtr revIDLastSave="0" documentId="13_ncr:1_{9817BA37-FB29-4FCF-9785-C16E90FFA2B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ll Data - Savings" sheetId="7" r:id="rId1"/>
    <sheet name="All Data - Credit" sheetId="10" r:id="rId2"/>
    <sheet name="ICICI Raw Data" sheetId="8" r:id="rId3"/>
    <sheet name="Data Cleaning - ICICI" sheetId="11" r:id="rId4"/>
    <sheet name="Run_Macro" sheetId="3" r:id="rId5"/>
    <sheet name="HSBC Raw Data" sheetId="9" r:id="rId6"/>
    <sheet name="Capital and Fixed Expenses" sheetId="5" r:id="rId7"/>
    <sheet name="Expense Headers" sheetId="4" r:id="rId8"/>
    <sheet name="Credit Card Bills" sheetId="6" r:id="rId9"/>
  </sheets>
  <definedNames>
    <definedName name="_xlnm._FilterDatabase" localSheetId="0" hidden="1">'All Data - Savings'!$A$1:$M$375</definedName>
    <definedName name="_xlnm._FilterDatabase" localSheetId="6" hidden="1">'Capital and Fixed Expenses'!$A$1:$E$5</definedName>
    <definedName name="_xlnm._FilterDatabase" localSheetId="2" hidden="1">'ICICI Raw Data'!$A$1:$A$21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7" l="1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" i="7"/>
  <c r="F5" i="5"/>
  <c r="F2" i="5"/>
  <c r="D10" i="5"/>
  <c r="G7" i="6"/>
  <c r="B2" i="6"/>
  <c r="B1" i="6"/>
  <c r="K3" i="6" s="1"/>
  <c r="F2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G6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5" i="6"/>
  <c r="D9" i="5"/>
  <c r="D8" i="5"/>
  <c r="D7" i="5"/>
  <c r="D6" i="5"/>
  <c r="F3" i="5"/>
  <c r="F4" i="5"/>
  <c r="F6" i="5"/>
  <c r="F7" i="5"/>
  <c r="F8" i="5"/>
  <c r="I5" i="6" l="1"/>
  <c r="I7" i="6"/>
  <c r="I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Ansh Tangri</author>
  </authors>
  <commentList>
    <comment ref="A2" authorId="0" shapeId="0" xr:uid="{0FB4C6B5-CD0D-4CCB-BF28-CEDCC1F5D7A5}">
      <text>
        <r>
          <rPr>
            <b/>
            <sz val="9"/>
            <color indexed="81"/>
            <rFont val="Tahoma"/>
            <family val="2"/>
          </rPr>
          <t>Ansh Tangri:</t>
        </r>
        <r>
          <rPr>
            <sz val="9"/>
            <color indexed="81"/>
            <rFont val="Tahoma"/>
            <family val="2"/>
          </rPr>
          <t xml:space="preserve">
Rent, maids and other repairs</t>
        </r>
      </text>
    </comment>
    <comment ref="G4" authorId="0" shapeId="0" xr:uid="{6B1EAA02-D70D-42CA-93AB-50DA5E1BCE35}">
      <text>
        <r>
          <rPr>
            <b/>
            <sz val="9"/>
            <color indexed="81"/>
            <rFont val="Tahoma"/>
            <family val="2"/>
          </rPr>
          <t>Ansh Tangri:</t>
        </r>
        <r>
          <rPr>
            <sz val="9"/>
            <color indexed="81"/>
            <rFont val="Tahoma"/>
            <family val="2"/>
          </rPr>
          <t xml:space="preserve">
/Reimbursements/Vouchers (Kept for self)
</t>
        </r>
      </text>
    </comment>
    <comment ref="G5" authorId="0" shapeId="0" xr:uid="{82909216-DA8A-4D24-B798-7EB05FCD75D2}">
      <text>
        <r>
          <rPr>
            <b/>
            <sz val="9"/>
            <color indexed="81"/>
            <rFont val="Tahoma"/>
            <family val="2"/>
          </rPr>
          <t>Ansh Tangri:</t>
        </r>
        <r>
          <rPr>
            <sz val="9"/>
            <color indexed="81"/>
            <rFont val="Tahoma"/>
            <family val="2"/>
          </rPr>
          <t xml:space="preserve">
Money Spent for others which will be spliited/returned back to me</t>
        </r>
      </text>
    </comment>
  </commentList>
</comments>
</file>

<file path=xl/sharedStrings.xml><?xml version="1.0" encoding="utf-8"?>
<sst xmlns="http://schemas.openxmlformats.org/spreadsheetml/2006/main" count="2881" uniqueCount="1347">
  <si>
    <t>Gifting</t>
  </si>
  <si>
    <t>Electricity</t>
  </si>
  <si>
    <t>EMI</t>
  </si>
  <si>
    <t>Others</t>
  </si>
  <si>
    <t>Credit Card</t>
  </si>
  <si>
    <t>Outings</t>
  </si>
  <si>
    <t>Home Expenses</t>
  </si>
  <si>
    <t>Investments MF</t>
  </si>
  <si>
    <t>Investments Others</t>
  </si>
  <si>
    <t>Capital Type</t>
  </si>
  <si>
    <t>Amount</t>
  </si>
  <si>
    <t>HDFC</t>
  </si>
  <si>
    <t>Expense Type</t>
  </si>
  <si>
    <t>Fixed Deposit</t>
  </si>
  <si>
    <t>Savings Account Balance</t>
  </si>
  <si>
    <t>Mutual Fund Deposit</t>
  </si>
  <si>
    <t>Other Investments</t>
  </si>
  <si>
    <t>Maturity Date (FD)</t>
  </si>
  <si>
    <t>ICICI</t>
  </si>
  <si>
    <t>Paytm Payments</t>
  </si>
  <si>
    <t>Cash</t>
  </si>
  <si>
    <t>Capital Anchors</t>
  </si>
  <si>
    <t>Credit Anchors</t>
  </si>
  <si>
    <t>HSBC</t>
  </si>
  <si>
    <t>Vendor Name</t>
  </si>
  <si>
    <t>Bill Amount For Period Paid or Not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</si>
  <si>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</si>
  <si>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</si>
  <si>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</si>
  <si>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</si>
  <si>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</si>
  <si>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</si>
  <si>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</si>
  <si>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000000000000000</t>
  </si>
  <si>
    <t>Unique</t>
  </si>
  <si>
    <t>Date_Value</t>
  </si>
  <si>
    <t>Expense Classification</t>
  </si>
  <si>
    <t>Expense Details</t>
  </si>
  <si>
    <t>Expense Vendor</t>
  </si>
  <si>
    <t>30/06/23</t>
  </si>
  <si>
    <t>UPI-BIGTREE ENTERTAINMEN-BOOKMYSHOW@AXB-UTIB0000100-354777738120-DEBIT MONEY USING</t>
  </si>
  <si>
    <t>0000354777738120</t>
  </si>
  <si>
    <t>01/07/23</t>
  </si>
  <si>
    <t>30/06/23UPI-BIGTREE ENTERTAINMEN-BOOKMYSHOW@AXB-UTIB0000100-354777738120-DEBIT MONEY USING000035477773812001/07/231195.8456301.01</t>
  </si>
  <si>
    <t>UPI-SINDU SINGH-SINGHSHINDU62@OKHDFCBANK-UTIB0002456-318140262942-KW 45 3RD FLOOR</t>
  </si>
  <si>
    <t>0000318140262942</t>
  </si>
  <si>
    <t>30/06/23UPI-SINDU SINGH-SINGHSHINDU62@OKHDFCBANK-UTIB0002456-318140262942-KW 45 3RD FLOOR000031814026294201/07/2323056071.01</t>
  </si>
  <si>
    <t>ACH D- INDIAN CLEARING CORP-I7VWK85GKZ27</t>
  </si>
  <si>
    <t>0000002870563675</t>
  </si>
  <si>
    <t>01/07/23ACH D- INDIAN CLEARING CORP-I7VWK85GKZ27000000287056367501/07/23200054071.01</t>
  </si>
  <si>
    <t>ACH D- INDIAN CLEARING CORP-2PZMNIYPYKHE</t>
  </si>
  <si>
    <t>0000002870583782</t>
  </si>
  <si>
    <t>01/07/23ACH D- INDIAN CLEARING CORP-2PZMNIYPYKHE000000287058378201/07/23250051571.01</t>
  </si>
  <si>
    <t>ACH D- INDIAN CLEARING CORP-YSYD3Z5DXEOW</t>
  </si>
  <si>
    <t>0000002870586788</t>
  </si>
  <si>
    <t>01/07/23ACH D- INDIAN CLEARING CORP-YSYD3Z5DXEOW000000287058678801/07/23550046071.01</t>
  </si>
  <si>
    <t>UPI-AWDHESH  KUMAR-8802525318@YBL-YESB0000121-354817685939-SENT FROM PAYTM</t>
  </si>
  <si>
    <t>0000354817685939</t>
  </si>
  <si>
    <t>01/07/23UPI-AWDHESH  KUMAR-8802525318@YBL-YESB0000121-354817685939-SENT FROM PAYTM000035481768593901/07/23848446071.01</t>
  </si>
  <si>
    <t>0000354802604744</t>
  </si>
  <si>
    <t>01/07/23UPI-SHUBHAM DUA-SHUBHAMDUA45-1@OKICICI-SBIN0001759-354802604744-UPI000035480260474401/07/231350060935.96</t>
  </si>
  <si>
    <t>UPI-PURUSHOTTAM PAWAN GU-PGUPTA2611@OKHDFCBANK-HDFC0000592-318255914206-UPI</t>
  </si>
  <si>
    <t>0000318255914206</t>
  </si>
  <si>
    <t>01/07/23UPI-PURUSHOTTAM PAWAN GU-PGUPTA2611@OKHDFCBANK-HDFC0000592-318255914206-UPI000031825591420601/07/2370060235.96</t>
  </si>
  <si>
    <t>UPI-INDIANCLEARINGCORPOR-BSESTARMFRZP@ICICI-ICIC0DC0099-318222643458-QXHYXXSZ3TK77ITKUJ</t>
  </si>
  <si>
    <t>0000318222643458</t>
  </si>
  <si>
    <t>01/07/23UPI-INDIANCLEARINGCORPOR-BSESTARMFRZP@ICICI-ICIC0DC0099-318222643458-QXHYXXSZ3TK77ITKUJ000031822264345801/07/2370043435.96</t>
  </si>
  <si>
    <t>UPI-ICCL ZERODHA COIN-ZERODHAMF@HDFCBANK-HDFC0000060-318288250079-5BQUWXMRLL4AZFK9IY</t>
  </si>
  <si>
    <t>0000318288250079</t>
  </si>
  <si>
    <t>01/07/23UPI-ICCL ZERODHA COIN-ZERODHAMF@HDFCBANK-HDFC0000060-318288250079-5BQUWXMRLL4AZFK9IY000031828825007901/07/23100042435.96</t>
  </si>
  <si>
    <t>UPI-SINDU SINGH-SINGHSHINDU62@OKHDFCBANK-UTIB0002456-318269566761-KW 45 3RD FLOOR</t>
  </si>
  <si>
    <t>0000318269566761</t>
  </si>
  <si>
    <t>01/07/23UPI-SINDU SINGH-SINGHSHINDU62@OKHDFCBANK-UTIB0002456-318269566761-KW 45 3RD FLOOR000031826956676101/07/2395643179.96</t>
  </si>
  <si>
    <t>02/07/23</t>
  </si>
  <si>
    <t>0000318391265743</t>
  </si>
  <si>
    <t>02/07/23UPI-SHUBHAM DUA-SHUBHAMDUA45@OKHDFCBANK-HDFC0000262-318391265743-UPI000031839126574302/07/23114744326.96</t>
  </si>
  <si>
    <t>UPI-XXXXXX3195-PYTM0123456-354931237919-NA</t>
  </si>
  <si>
    <t>0000354931237919</t>
  </si>
  <si>
    <t>02/07/23UPI-XXXXXX3195-PYTM0123456-354931237919-NA000035493123791902/07/231725024149.96</t>
  </si>
  <si>
    <t>0000318395148201</t>
  </si>
  <si>
    <t>02/07/23UPI-MS JAYATI GUPTA-GJAYATI666@OKHDFCBANK-IDIB000S244-318395148201-LUNCH000031839514820102/07/23100025149.96</t>
  </si>
  <si>
    <t>03/07/23</t>
  </si>
  <si>
    <t>UPI-MD ALI RAJA-PAYTMQR281005050101BJELEVRT3Y4C@PAYTM-PYTM0123456-318404345524-UPI</t>
  </si>
  <si>
    <t>0000318404345524</t>
  </si>
  <si>
    <t>03/07/23UPI-MD ALI RAJA-PAYTMQR281005050101BJELEVRT3Y4C@PAYTM-PYTM0123456-318404345524-UPI000031840434552403/07/233023819.96</t>
  </si>
  <si>
    <t>UPI-AMIT KESHARWANI-Q924660075@YBL-HDFC0000485-318407748373-UPI</t>
  </si>
  <si>
    <t>0000318407748373</t>
  </si>
  <si>
    <t>03/07/23UPI-AMIT KESHARWANI-Q924660075@YBL-HDFC0000485-318407748373-UPI000031840774837303/07/234023779.96</t>
  </si>
  <si>
    <t>UPI-AMIT KESHARWANI-Q924660075@YBL-HDFC0000485-318410659138-UPI</t>
  </si>
  <si>
    <t>0000318410659138</t>
  </si>
  <si>
    <t>03/07/23UPI-AMIT KESHARWANI-Q924660075@YBL-HDFC0000485-318410659138-UPI000031841065913803/07/232023759.96</t>
  </si>
  <si>
    <t>ACH C- INFOSYS LIMITED-33705521</t>
  </si>
  <si>
    <t>0000002907571420</t>
  </si>
  <si>
    <t>03/07/23ACH C- INFOSYS LIMITED-33705521000000290757142003/07/2317.523777.46</t>
  </si>
  <si>
    <t>UPI-GUDDU KUMAR SINGH-PAYTMQRZ3KZ6EQWK5@PAYTM-PYTM0123456-318414007362-UPI</t>
  </si>
  <si>
    <t>0000318414007362</t>
  </si>
  <si>
    <t>03/07/23UPI-GUDDU KUMAR SINGH-PAYTMQRZ3KZ6EQWK5@PAYTM-PYTM0123456-318414007362-UPI000031841400736203/07/237023707.46</t>
  </si>
  <si>
    <t>POS 517725XXXXXX8201 STEAMGAMES.COM 4</t>
  </si>
  <si>
    <t>0000000000320973</t>
  </si>
  <si>
    <t>03/07/23POS 517725XXXXXX8201 STEAMGAMES.COM 4000000000032097303/07/2362423083.46</t>
  </si>
  <si>
    <t>04/07/23</t>
  </si>
  <si>
    <t>UPI-GUDDU KUMAR SINGH-PAYTMQRZ3KZ6EQWK5@PAYTM-PYTM0123456-318539484758-UPI</t>
  </si>
  <si>
    <t>0000318539484758</t>
  </si>
  <si>
    <t>04/07/23UPI-GUDDU KUMAR SINGH-PAYTMQRZ3KZ6EQWK5@PAYTM-PYTM0123456-318539484758-UPI000031853948475804/07/23701013.46</t>
  </si>
  <si>
    <t>05/07/23</t>
  </si>
  <si>
    <t>UPI-AMIT KESHARWANI-Q924660075@YBL-HDFC0000485-318660682987-UPI</t>
  </si>
  <si>
    <t>0000318660682987</t>
  </si>
  <si>
    <t>05/07/23UPI-AMIT KESHARWANI-Q924660075@YBL-HDFC0000485-318660682987-UPI000031866068298705/07/23101003.46</t>
  </si>
  <si>
    <t>UPI-AMIT KESHARWANI-Q924660075@YBL-HDFC0000485-318660687735-UPI</t>
  </si>
  <si>
    <t>0000318660687735</t>
  </si>
  <si>
    <t>05/07/23UPI-AMIT KESHARWANI-Q924660075@YBL-HDFC0000485-318660687735-UPI000031866068773505/07/2320983.46</t>
  </si>
  <si>
    <t>UPI-AMIT KESHARWANI-Q924660075@YBL-HDFC0000485-318665927077-UPI</t>
  </si>
  <si>
    <t>0000318665927077</t>
  </si>
  <si>
    <t>05/07/23UPI-AMIT KESHARWANI-Q924660075@YBL-HDFC0000485-318665927077-UPI000031866592707705/07/2380903.46</t>
  </si>
  <si>
    <t>UPI-GROFERS INDIA PVT LT-GROFERS.PAYU@HDFCBANK-HDFC0000499-318672017134-UPI TRANSACTION FO</t>
  </si>
  <si>
    <t>0000318672017134</t>
  </si>
  <si>
    <t>05/07/23UPI-GROFERS INDIA PVT LT-GROFERS.PAYU@HDFCBANK-HDFC0000499-318672017134-UPI TRANSACTION FO000031867201713405/07/234446459.46</t>
  </si>
  <si>
    <t>0000318672865732</t>
  </si>
  <si>
    <t>05/07/23UPI-SHUBHAM DUA-SHUBHAMDUA45-1@OKICICI-SBIN0001759-318672865732-UPI000031867286573205/07/2340002459.46</t>
  </si>
  <si>
    <t>UPI-SWIGGYINSTAMART-SWIGGYINSTAMART@YESPAY-YESB0YESUPI-318680169639-PAY FOR MERCHANT</t>
  </si>
  <si>
    <t>0000318680169639</t>
  </si>
  <si>
    <t>06/07/23</t>
  </si>
  <si>
    <t>05/07/23UPI-SWIGGYINSTAMART-SWIGGYINSTAMART@YESPAY-YESB0YESUPI-318680169639-PAY FOR MERCHANT000031868016963906/07/232572202.46</t>
  </si>
  <si>
    <t>UPI-LE MARCHE GOOD EARTH-PAYTMQR2810050501011LKS179WGZFL@PAYTM-PYTM0123456-318782485854-UPI</t>
  </si>
  <si>
    <t>0000318782485854</t>
  </si>
  <si>
    <t>06/07/23UPI-LE MARCHE GOOD EARTH-PAYTMQR2810050501011LKS179WGZFL@PAYTM-PYTM0123456-318782485854-UPI000031878248585406/07/23122190.46</t>
  </si>
  <si>
    <t>.IMPS P2P 313212343973#12/05/2023 120523-MIR2418426789610</t>
  </si>
  <si>
    <t>MIR2418426789610</t>
  </si>
  <si>
    <t>06/07/23.IMPS P2P 313212343973#12/05/2023 120523-MIR2418426789610MIR241842678961006/07/235.91784.56</t>
  </si>
  <si>
    <t>UPI-GUDDU KUMAR SINGH-PAYTMQRZ3KZ6EQWK5@PAYTM-PYTM0123456-318793588420-UPI</t>
  </si>
  <si>
    <t>0000318793588420</t>
  </si>
  <si>
    <t>06/07/23UPI-GUDDU KUMAR SINGH-PAYTMQRZ3KZ6EQWK5@PAYTM-PYTM0123456-318793588420-UPI000031879358842006/07/23701714.56</t>
  </si>
  <si>
    <t>UPI-SINDU SINGH-SINGHSHINDU62@OKHDFCBANK-UTIB0002456-318701495921-UPI</t>
  </si>
  <si>
    <t>0000318701495921</t>
  </si>
  <si>
    <t>06/07/23UPI-SINDU SINGH-SINGHSHINDU62@OKHDFCBANK-UTIB0002456-318701495921-UPI000031870149592106/07/23894820.56</t>
  </si>
  <si>
    <t>UPI-SWIGGY-SWIGGYUPI@AXISBANK-UTIB0000000-318706506917-SWIGGY ORDER ID 17</t>
  </si>
  <si>
    <t>0000318706506917</t>
  </si>
  <si>
    <t>06/07/23UPI-SWIGGY-SWIGGYUPI@AXISBANK-UTIB0000000-318706506917-SWIGGY ORDER ID 17000031870650691706/07/238173.56</t>
  </si>
  <si>
    <t>07/07/23</t>
  </si>
  <si>
    <t>UPI-ADD MONEY TO WALLET-ADD-MONEY@PAYTM-PYTM0123456-355451404322-OID21437667407@PAY</t>
  </si>
  <si>
    <t>0000355451404322</t>
  </si>
  <si>
    <t>07/07/23UPI-ADD MONEY TO WALLET-ADD-MONEY@PAYTM-PYTM0123456-355451404322-OID21437667407@PAY000035545140432207/07/23600-596.44</t>
  </si>
  <si>
    <t>08/07/23</t>
  </si>
  <si>
    <t>UPI-ADD MONEY TO WALLET-ADD-MONEY@PAYTM-PYTM0123456-318956917154-OID21449055777@PAY</t>
  </si>
  <si>
    <t>0000318956917154</t>
  </si>
  <si>
    <t>08/07/23UPI-ADD MONEY TO WALLET-ADD-MONEY@PAYTM-PYTM0123456-318956917154-OID21449055777@PAY000031895691715408/07/23600-1196.44</t>
  </si>
  <si>
    <t>INT. ON SWCR ON-50300807817792</t>
  </si>
  <si>
    <t>08/07/23INT. ON SWCR ON-5030080781779200000000000000007/07/231-1195.44</t>
  </si>
  <si>
    <t>SWEEP-IN CREDIT - 50300807817792</t>
  </si>
  <si>
    <t>08/07/23SWEEP-IN CREDIT - 5030080781779200000000000000007/07/23597-598.44</t>
  </si>
  <si>
    <t>MONTHLY INTEREST CREDIT 50300807817792</t>
  </si>
  <si>
    <t>3304220230708778</t>
  </si>
  <si>
    <t>08/07/23MONTHLY INTEREST CREDIT 50300807817792330422023070877808/07/232876888.56</t>
  </si>
  <si>
    <t>UPI-XXXXXX3195-PYTM0123456-355502626696-NA</t>
  </si>
  <si>
    <t>0000355502626696</t>
  </si>
  <si>
    <t>08/07/23UPI-XXXXXX3195-PYTM0123456-355502626696-NA000035550262669608/07/237000-111.44</t>
  </si>
  <si>
    <t>0000318938674531</t>
  </si>
  <si>
    <t>08/07/23UPI-SHUBHAM DUA-SHUBHAMDUA45-1@OKICICI-SBIN0001759-318938674531-UPI000031893867453108/07/2349000-49111.44</t>
  </si>
  <si>
    <t>UPI-SINDU SINGH-SINGHSHINDU62@OKHDFCBANK-UTIB0002456-318960609318-UPI</t>
  </si>
  <si>
    <t>0000318960609318</t>
  </si>
  <si>
    <t>08/07/23UPI-SINDU SINGH-SINGHSHINDU62@OKHDFCBANK-UTIB0002456-318960609318-UPI000031896060931808/07/23704-49815.44</t>
  </si>
  <si>
    <t>09/07/23</t>
  </si>
  <si>
    <t>09/07/23INT. ON SWCR ON-5030080781779200000000000000008/07/23-2-49817.44</t>
  </si>
  <si>
    <t>09/07/23SWEEP-IN CREDIT - 5030080781779200000000000000008/07/23600-49217.44</t>
  </si>
  <si>
    <t>09/07/23INT. ON SWCR ON-5030080781779200000000000000008/07/23-183-49400.44</t>
  </si>
  <si>
    <t>09/07/23SWEEP-IN CREDIT - 5030080781779200000000000000008/07/2348696-704.44</t>
  </si>
  <si>
    <t>09/07/23INT. ON SWCR ON-5030080781779200000000000000008/07/23-1-705.44</t>
  </si>
  <si>
    <t>09/07/23SWEEP-IN CREDIT - 5030080781779200000000000000008/07/23107-598.44</t>
  </si>
  <si>
    <t>INT. ON SWCR ON-50300793177251</t>
  </si>
  <si>
    <t>09/07/23INT. ON SWCR ON-5030079317725100000000000000008/07/233-595.44</t>
  </si>
  <si>
    <t>SWEEP-IN CREDIT - 50300793177251</t>
  </si>
  <si>
    <t>09/07/23SWEEP-IN CREDIT - 5030079317725100000000000000008/07/235982.56</t>
  </si>
  <si>
    <t>UPI-VIRENDRA SINGH-9717419982@PAYTM-PUNB0125310-355611288946-NA</t>
  </si>
  <si>
    <t>0000355611288946</t>
  </si>
  <si>
    <t>09/07/23UPI-VIRENDRA SINGH-9717419982@PAYTM-PUNB0125310-355611288946-NA000035561128894609/07/236006402.56</t>
  </si>
  <si>
    <t>UPI-PURUSHOTTAM PAWAN GU-PGUPTA2611@OKHDFCBANK-HDFC0000592-319072432377-SPLITWISE</t>
  </si>
  <si>
    <t>0000319072432377</t>
  </si>
  <si>
    <t>09/07/23UPI-PURUSHOTTAM PAWAN GU-PGUPTA2611@OKHDFCBANK-HDFC0000592-319072432377-SPLITWISE000031907243237709/07/2321148516.56</t>
  </si>
  <si>
    <t>UPI-SINDU SINGH-SINGHSHINDU62@OKHDFCBANK-UTIB0002456-319085060858-UPI</t>
  </si>
  <si>
    <t>0000319085060858</t>
  </si>
  <si>
    <t>09/07/23UPI-SINDU SINGH-SINGHSHINDU62@OKHDFCBANK-UTIB0002456-319085060858-UPI000031908506085809/07/231378379.56</t>
  </si>
  <si>
    <t>10/07/23</t>
  </si>
  <si>
    <t>0000000000424649</t>
  </si>
  <si>
    <t>10/07/23POS 517725XXXXXX8201 STEAMGAMES.COM 4000000000042464910/07/232248155.56</t>
  </si>
  <si>
    <t>Grocery</t>
  </si>
  <si>
    <t>Rent House Expenses</t>
  </si>
  <si>
    <t>Inflow Classification</t>
  </si>
  <si>
    <t>Lendings</t>
  </si>
  <si>
    <t>Interest Earnings</t>
  </si>
  <si>
    <t>Salary</t>
  </si>
  <si>
    <t>Belongs To Savings</t>
  </si>
  <si>
    <t>Other Earnings</t>
  </si>
  <si>
    <t>PPF(Own)</t>
  </si>
  <si>
    <t>PPF(Company)</t>
  </si>
  <si>
    <t>Repayment By Others</t>
  </si>
  <si>
    <t>Fuel/Car Maintainence/Challans</t>
  </si>
  <si>
    <t>Outside Food</t>
  </si>
  <si>
    <t>Travel</t>
  </si>
  <si>
    <t>Emergency Withdrawal</t>
  </si>
  <si>
    <t>Yes</t>
  </si>
  <si>
    <t>No</t>
  </si>
  <si>
    <t>Status</t>
  </si>
  <si>
    <t>Maturity Amount</t>
  </si>
  <si>
    <t>Days To Maturity</t>
  </si>
  <si>
    <t>Bank/Vendor Name</t>
  </si>
  <si>
    <t>Zerodha</t>
  </si>
  <si>
    <t>-</t>
  </si>
  <si>
    <t>Total Amount Paid</t>
  </si>
  <si>
    <t>Remaining Balance</t>
  </si>
  <si>
    <t>Bill Due</t>
  </si>
  <si>
    <t>Amount Paid On</t>
  </si>
  <si>
    <t>Sno.</t>
  </si>
  <si>
    <t>Others sorting finance</t>
  </si>
  <si>
    <t>Paytm Wallet</t>
  </si>
  <si>
    <t>ICICI Debit</t>
  </si>
  <si>
    <t>HSBC Credit</t>
  </si>
  <si>
    <t>ICICI Credit</t>
  </si>
  <si>
    <t>Partial</t>
  </si>
  <si>
    <t>Minimum Bill Due</t>
  </si>
  <si>
    <t>Days b/w today and due date</t>
  </si>
  <si>
    <t>Today's Date</t>
  </si>
  <si>
    <t>Purchases/Personal</t>
  </si>
  <si>
    <t>Alcohol</t>
  </si>
  <si>
    <t>Review Status</t>
  </si>
  <si>
    <t>Money Lent</t>
  </si>
  <si>
    <t>ME DC SI 517725XXXXXX8201 YOUTUBE</t>
  </si>
  <si>
    <t>0000000000972928</t>
  </si>
  <si>
    <t>10/07/23ME DC SI 517725XXXXXX8201 YOUTUBE000000000097292810/07/231891275.56</t>
  </si>
  <si>
    <t>ME DC SI 517725XXXXXX8201 NETFLIX</t>
  </si>
  <si>
    <t>0000000000990048</t>
  </si>
  <si>
    <t>10/07/23ME DC SI 517725XXXXXX8201 NETFLIX000000000099004810/07/23649626.56</t>
  </si>
  <si>
    <t>11/07/23</t>
  </si>
  <si>
    <t>FT - CR - 50200008494906 - UNITED OVERSEAS</t>
  </si>
  <si>
    <t>0000000000004286</t>
  </si>
  <si>
    <t>11/07/23FT - CR - 50200008494906 - UNITED OVERSEAS000000000000428611/07/232700027626.56</t>
  </si>
  <si>
    <t>DEBIT CARD CASH BACK</t>
  </si>
  <si>
    <t>11/07/23DEBIT CARD CASH BACK00000000000000011/07/2310026726.56</t>
  </si>
  <si>
    <t>0000319237826105</t>
  </si>
  <si>
    <t>11/07/23UPI-SHUBHAM DUA-SHUBHAMDUA45@OKHDFCBANK-HDFC0000262-319237826105-UPI000031923782610511/07/231325039976.56</t>
  </si>
  <si>
    <t>UPI-SINDU SINGH-SINGHSHINDU62@OKHDFCBANK-UTIB0002456-319240166728-KW 45 3RD FLOOR</t>
  </si>
  <si>
    <t>0000319240166728</t>
  </si>
  <si>
    <t>11/07/23UPI-SINDU SINGH-SINGHSHINDU62@OKHDFCBANK-UTIB0002456-319240166728-KW 45 3RD FLOOR000031924016672811/07/23102438952.56</t>
  </si>
  <si>
    <t>12/07/23</t>
  </si>
  <si>
    <t>UPI-RAJAT ARORA-9818530248@PAYTM-BKID0006006-355921124451-FLOROSCENT</t>
  </si>
  <si>
    <t>0000355921124451</t>
  </si>
  <si>
    <t>12/07/23UPI-RAJAT ARORA-9818530248@PAYTM-BKID0006006-355921124451-FLOROSCENT000035592112445112/07/2337039322.56</t>
  </si>
  <si>
    <t>UPI-PURUSHOTTAM PAWAN GU-PGUPTA2611@OKHDFCBANK-HDFC0000592-319366822508-RENT</t>
  </si>
  <si>
    <t>0000319366822508</t>
  </si>
  <si>
    <t>12/07/23UPI-PURUSHOTTAM PAWAN GU-PGUPTA2611@OKHDFCBANK-HDFC0000592-319366822508-RENT000031936682250812/07/231250051822.56</t>
  </si>
  <si>
    <t>UPI-DEVI DUTT JOSHI-9899301788@AXL-UTIB0003942-319366839639-JULY RENT</t>
  </si>
  <si>
    <t>0000319366839639</t>
  </si>
  <si>
    <t>12/07/23UPI-DEVI DUTT JOSHI-9899301788@AXL-UTIB0003942-319366839639-JULY RENT000031936683963912/07/234000011822.56</t>
  </si>
  <si>
    <t>14/07/23</t>
  </si>
  <si>
    <t>UPI-SINDU SINGH-SINGHSHINDU62@OKHDFCBANK-UTIB0002456-319519337645-KW 45 3RD FLOOR</t>
  </si>
  <si>
    <t>0000319519337645</t>
  </si>
  <si>
    <t>14/07/23UPI-SINDU SINGH-SINGHSHINDU62@OKHDFCBANK-UTIB0002456-319519337645-KW 45 3RD FLOOR000031951933764514/07/2314011382.56</t>
  </si>
  <si>
    <t>15/07/23</t>
  </si>
  <si>
    <t>POS 517725XXXXXX8201 PAYTM PAYMENTS S</t>
  </si>
  <si>
    <t>0000000000023728</t>
  </si>
  <si>
    <t>15/07/23POS 517725XXXXXX8201 PAYTM PAYMENTS S000000000002372815/07/2380010582.56</t>
  </si>
  <si>
    <t>UPI-SINDU  SINGH-SINGHSHINDU62@OKAXIS-UTIB0002456-319630934736-LW 45 3RD FLOOR</t>
  </si>
  <si>
    <t>0000319630934736</t>
  </si>
  <si>
    <t>15/07/23UPI-SINDU  SINGH-SINGHSHINDU62@OKAXIS-UTIB0002456-319630934736-LW 45 3RD FLOOR000031963093473615/07/2330410278.56</t>
  </si>
  <si>
    <t>17/07/23</t>
  </si>
  <si>
    <t>UPI-SINDU SINGH-SINGHSHINDU62@OKHDFCBANK-UTIB0002456-319881720792-KW 45 3RD FLOOR</t>
  </si>
  <si>
    <t>0000319881720792</t>
  </si>
  <si>
    <t>17/07/23UPI-SINDU SINGH-SINGHSHINDU62@OKHDFCBANK-UTIB0002456-319881720792-KW 45 3RD FLOOR000031988172079217/07/233809898.56</t>
  </si>
  <si>
    <t>UPI-GUDDU KUMAR SINGH-PAYTMQRZ3KZ6EQWK5@PAYTM-PYTM0123456-319894542427-COFFEE</t>
  </si>
  <si>
    <t>0000319894542427</t>
  </si>
  <si>
    <t>17/07/23UPI-GUDDU KUMAR SINGH-PAYTMQRZ3KZ6EQWK5@PAYTM-PYTM0123456-319894542427-COFFEE000031989454242717/07/23709828.56</t>
  </si>
  <si>
    <t>UPI-AMIT KESHARWANI-Q924660075@YBL-HDFC0000485-319897021616-UPI</t>
  </si>
  <si>
    <t>0000319897021616</t>
  </si>
  <si>
    <t>17/07/23UPI-AMIT KESHARWANI-Q924660075@YBL-HDFC0000485-319897021616-UPI000031989702161617/07/23559773.56</t>
  </si>
  <si>
    <t>15,07,2023</t>
  </si>
  <si>
    <t>SWIGGY INSTAMART, BANGALORE, IN</t>
  </si>
  <si>
    <t>246.00 Dr.</t>
  </si>
  <si>
    <t>7799937732</t>
  </si>
  <si>
    <t>ICICI Credit Card</t>
  </si>
  <si>
    <t>15,07,2023SWIGGY INSTAMART, BANGALORE, IN246.00 Dr.15,07,2023SWIGGY INSTAMART, BANGALORE, IN246.00 Dr.7799937732</t>
  </si>
  <si>
    <t>SWIGGY, Bengaluru, IN</t>
  </si>
  <si>
    <t>704.00 Dr.</t>
  </si>
  <si>
    <t>7800889176</t>
  </si>
  <si>
    <t>15,07,2023SWIGGY, Bengaluru, IN704.00 Dr.15,07,2023SWIGGY, Bengaluru, IN704.00 Dr.7800889176</t>
  </si>
  <si>
    <t>14,07,2023</t>
  </si>
  <si>
    <t>923.00 Dr.</t>
  </si>
  <si>
    <t>7798110879</t>
  </si>
  <si>
    <t>14,07,2023SWIGGY INSTAMART, BANGALORE, IN923.00 Dr.14,07,2023SWIGGY INSTAMART, BANGALORE, IN923.00 Dr.7798110879</t>
  </si>
  <si>
    <t>601.00 Dr.</t>
  </si>
  <si>
    <t>7799978069</t>
  </si>
  <si>
    <t>14,07,2023SWIGGY INSTAMART, BANGALORE, IN601.00 Dr.14,07,2023SWIGGY INSTAMART, BANGALORE, IN601.00 Dr.7799978069</t>
  </si>
  <si>
    <t>13,07,2023</t>
  </si>
  <si>
    <t>Swiggy, Bengaluru, IN</t>
  </si>
  <si>
    <t>232.00 Dr.</t>
  </si>
  <si>
    <t>7792726300</t>
  </si>
  <si>
    <t>13,07,2023Swiggy, Bengaluru, IN232.00 Dr.13,07,2023Swiggy, Bengaluru, IN232.00 Dr.7792726300</t>
  </si>
  <si>
    <t>SWIGGY, BANGALORE, IN</t>
  </si>
  <si>
    <t>30.00 Dr.</t>
  </si>
  <si>
    <t>7792918268</t>
  </si>
  <si>
    <t>13,07,2023SWIGGY, BANGALORE, IN30.00 Dr.13,07,2023SWIGGY, BANGALORE, IN30.00 Dr.7792918268</t>
  </si>
  <si>
    <t>12,07,2023</t>
  </si>
  <si>
    <t>SWIGGY, Chennai, IN</t>
  </si>
  <si>
    <t>235.00 Cr.</t>
  </si>
  <si>
    <t>7788207137</t>
  </si>
  <si>
    <t>12,07,2023SWIGGY, Chennai, IN235.00 Cr.12,07,2023SWIGGY, Chennai, IN235.00 Cr.7788207137</t>
  </si>
  <si>
    <t>235.00 Dr.</t>
  </si>
  <si>
    <t>7788851793</t>
  </si>
  <si>
    <t>12,07,2023SWIGGY, Bengaluru, IN235.00 Dr.12,07,2023SWIGGY, Bengaluru, IN235.00 Dr.7788851793</t>
  </si>
  <si>
    <t>326.00 Dr.</t>
  </si>
  <si>
    <t>7789072911</t>
  </si>
  <si>
    <t>12,07,2023Swiggy, Bengaluru, IN326.00 Dr.12,07,2023Swiggy, Bengaluru, IN326.00 Dr.7789072911</t>
  </si>
  <si>
    <t>11,07,2023</t>
  </si>
  <si>
    <t>Paytm_AirtelPaymentsBa, GURGAON, IN</t>
  </si>
  <si>
    <t>2,591.28 Dr.</t>
  </si>
  <si>
    <t>7784202770</t>
  </si>
  <si>
    <t>11,07,2023Paytm_AirtelPaymentsBa, GURGAON, IN2,591.28 Dr.11,07,2023Paytm_AirtelPaymentsBa, GURGAON, IN2,591.28 Dr.7784202770</t>
  </si>
  <si>
    <t>11356ND07      0000020000000000WhvFH1cagN</t>
  </si>
  <si>
    <t>2.00 Dr.</t>
  </si>
  <si>
    <t>7784248358</t>
  </si>
  <si>
    <t>11,07,202311356ND07      0000020000000000WhvFH1cagN2.00 Dr.11,07,202311356ND07      0000020000000000WhvFH1cagN2.00 Dr.7784248358</t>
  </si>
  <si>
    <t>2.00 Cr.</t>
  </si>
  <si>
    <t>7784288109</t>
  </si>
  <si>
    <t>11,07,202311356ND07      0000020000000000WhvFH1cagN2.00 Cr.11,07,202311356ND07      0000020000000000WhvFH1cagN2.00 Cr.7784288109</t>
  </si>
  <si>
    <t>10,07,2023</t>
  </si>
  <si>
    <t>INFINITY PAYMENT RECEIVED, THANK YOU</t>
  </si>
  <si>
    <t>355.00 Cr.</t>
  </si>
  <si>
    <t>7776839492</t>
  </si>
  <si>
    <t>10,07,2023INFINITY PAYMENT RECEIVED, THANK YOU355.00 Cr.10,07,2023INFINITY PAYMENT RECEIVED, THANK YOU355.00 Cr.7776839492</t>
  </si>
  <si>
    <t>08,07,2023</t>
  </si>
  <si>
    <t>10075249</t>
  </si>
  <si>
    <t>355.00 Dr.</t>
  </si>
  <si>
    <t>7771327064</t>
  </si>
  <si>
    <t>08,07,202310075249355.00 Dr.08,07,202310075249355.00 Dr.7771327064</t>
  </si>
  <si>
    <t>01,07,2023</t>
  </si>
  <si>
    <t>7,715.79 Cr.</t>
  </si>
  <si>
    <t>7738646805</t>
  </si>
  <si>
    <t>01,07,2023INFINITY PAYMENT RECEIVED, THANK YOU7,715.79 Cr.01,07,2023INFINITY PAYMENT RECEIVED, THANK YOU7,715.79 Cr.7738646805</t>
  </si>
  <si>
    <t>25,06,2023</t>
  </si>
  <si>
    <t>Paytm_ZOMATOLIMITED, GURGAON, IN</t>
  </si>
  <si>
    <t>502.28 Dr.</t>
  </si>
  <si>
    <t>7719709206</t>
  </si>
  <si>
    <t>25,06,2023Paytm_ZOMATOLIMITED, GURGAON, IN502.28 Dr.25,06,2023Paytm_ZOMATOLIMITED, GURGAON, IN502.28 Dr.7719709206</t>
  </si>
  <si>
    <t>18,06,2023</t>
  </si>
  <si>
    <t>THE BIG CHILL, NEW DELHI, IN</t>
  </si>
  <si>
    <t>577.50 Dr.</t>
  </si>
  <si>
    <t>7690371484</t>
  </si>
  <si>
    <t>18,06,2023THE BIG CHILL, NEW DELHI, IN577.50 Dr.18,06,2023THE BIG CHILL, NEW DELHI, IN577.50 Dr.7690371484</t>
  </si>
  <si>
    <t>21/07/2023</t>
  </si>
  <si>
    <t>HSBC Credit Card</t>
  </si>
  <si>
    <t>16/07/2023</t>
  </si>
  <si>
    <t>15/07/2023</t>
  </si>
  <si>
    <t>30/06/2023</t>
  </si>
  <si>
    <t>29/06/2023</t>
  </si>
  <si>
    <t>Vendor</t>
  </si>
  <si>
    <t>LEFT(G2,LEN(G2)-LEN(RIGHT(G2,6))-1)</t>
  </si>
  <si>
    <t>DATE(RIGHT(A2,4),MID(A2,4,2),MID(A2,1,2))</t>
  </si>
  <si>
    <t>22,07,2023</t>
  </si>
  <si>
    <t>17,567.00 Cr.</t>
  </si>
  <si>
    <t>7826653907</t>
  </si>
  <si>
    <t>22,07,2023INFINITY PAYMENT RECEIVED, THANK YOU17,567.00 Cr.22,07,2023INFINITY PAYMENT RECEIVED, THANK YOU17,567.00 Cr.7826653907</t>
  </si>
  <si>
    <t>20,07,2023</t>
  </si>
  <si>
    <t>NIVA BUPA HEALTH IN, NOIDA, IN</t>
  </si>
  <si>
    <t>17,567.00 Dr.</t>
  </si>
  <si>
    <t>7824869229</t>
  </si>
  <si>
    <t>20,07,2023NIVA BUPA HEALTH IN, NOIDA, IN17,567.00 Dr.20,07,2023NIVA BUPA HEALTH IN, NOIDA, IN17,567.00 Dr.7824869229</t>
  </si>
  <si>
    <t>19,07,2023</t>
  </si>
  <si>
    <t>JRD HOSPITALITY, GURGAON, IN</t>
  </si>
  <si>
    <t>150.00 Dr.</t>
  </si>
  <si>
    <t>7818168052</t>
  </si>
  <si>
    <t>19,07,2023JRD HOSPITALITY, GURGAON, IN150.00 Dr.19,07,2023JRD HOSPITALITY, GURGAON, IN150.00 Dr.7818168052</t>
  </si>
  <si>
    <t>11356ND07      000000149900    WimlI7mlLl1</t>
  </si>
  <si>
    <t>1,499.00 Dr.</t>
  </si>
  <si>
    <t>7819610112</t>
  </si>
  <si>
    <t>19,07,202311356ND07      000000149900    WimlI7mlLl11,499.00 Dr.19,07,202311356ND07      000000149900    WimlI7mlLl11,499.00 Dr.7819610112</t>
  </si>
  <si>
    <t>1,500.00 Cr.</t>
  </si>
  <si>
    <t>7816271947</t>
  </si>
  <si>
    <t>19,07,2023INFINITY PAYMENT RECEIVED, THANK YOU1,500.00 Cr.19,07,2023INFINITY PAYMENT RECEIVED, THANK YOU1,500.00 Cr.7816271947</t>
  </si>
  <si>
    <t>Rough</t>
  </si>
  <si>
    <t xml:space="preserve">NIVA BUPA HEALTH INSUR NOIDA         IN 20/07/2023 â€¢â€¢â€¢â€¢ â€¢â€¢â€¢â€¢ â€¢â€¢â€¢â€¢ 9656  </t>
  </si>
  <si>
    <t>21/07/2023NIVA BUPA HEALTH INSUR NOIDA         IN 20/07/2023 â€¢â€¢â€¢â€¢ â€¢â€¢â€¢â€¢ â€¢â€¢â€¢â€¢ 9656  -3015</t>
  </si>
  <si>
    <t xml:space="preserve">PVR LIMITED            NEW DELHI     IN 20/07/2023 â€¢â€¢â€¢â€¢ â€¢â€¢â€¢â€¢ â€¢â€¢â€¢â€¢ 9656  </t>
  </si>
  <si>
    <t>21/07/2023PVR LIMITED            NEW DELHI     IN 20/07/2023 â€¢â€¢â€¢â€¢ â€¢â€¢â€¢â€¢ â€¢â€¢â€¢â€¢ 9656  -60</t>
  </si>
  <si>
    <t xml:space="preserve">LICIOUS INR            WWW.LICIOUS.  IN 15/07/2023 â€¢â€¢â€¢â€¢ â€¢â€¢â€¢â€¢ â€¢â€¢â€¢â€¢ 9656  </t>
  </si>
  <si>
    <t>16/07/2023LICIOUS INR            WWW.LICIOUS.  IN 15/07/2023 â€¢â€¢â€¢â€¢ â€¢â€¢â€¢â€¢ â€¢â€¢â€¢â€¢ 9656  -1045</t>
  </si>
  <si>
    <t xml:space="preserve">CREDIT CARD PAYMENT 15/07/2023 â€¢â€¢â€¢â€¢ â€¢â€¢â€¢â€¢ â€¢â€¢â€¢â€¢ 9656  </t>
  </si>
  <si>
    <t>15/07/2023CREDIT CARD PAYMENT 15/07/2023 â€¢â€¢â€¢â€¢ â€¢â€¢â€¢â€¢ â€¢â€¢â€¢â€¢ 9656  1000</t>
  </si>
  <si>
    <t xml:space="preserve">CREDIT CARD PAYMENT 10/07/2023 â€¢â€¢â€¢â€¢ â€¢â€¢â€¢â€¢ â€¢â€¢â€¢â€¢ 9656  </t>
  </si>
  <si>
    <t>11/7/2023CREDIT CARD PAYMENT 10/07/2023 â€¢â€¢â€¢â€¢ â€¢â€¢â€¢â€¢ â€¢â€¢â€¢â€¢ 9656  1383</t>
  </si>
  <si>
    <t xml:space="preserve">ZOMATO                 NEW DELHI     IN 09/07/2023 â€¢â€¢â€¢â€¢ â€¢â€¢â€¢â€¢ â€¢â€¢â€¢â€¢ 9656  </t>
  </si>
  <si>
    <t>10/7/2023ZOMATO                 NEW DELHI     IN 09/07/2023 â€¢â€¢â€¢â€¢ â€¢â€¢â€¢â€¢ â€¢â€¢â€¢â€¢ 9656  -1221.95</t>
  </si>
  <si>
    <t xml:space="preserve">ZOMATO                 NEW DELHI     IN 08/07/2023 â€¢â€¢â€¢â€¢ â€¢â€¢â€¢â€¢ â€¢â€¢â€¢â€¢ 9656  </t>
  </si>
  <si>
    <t>9/7/2023ZOMATO                 NEW DELHI     IN 08/07/2023 â€¢â€¢â€¢â€¢ â€¢â€¢â€¢â€¢ â€¢â€¢â€¢â€¢ 9656  -566.64</t>
  </si>
  <si>
    <t xml:space="preserve">Flipkart Payments      BANGALORE     IN 04/07/2023 â€¢â€¢â€¢â€¢ â€¢â€¢â€¢â€¢ â€¢â€¢â€¢â€¢ 9656  </t>
  </si>
  <si>
    <t>5/7/2023Flipkart Payments      BANGALORE     IN 04/07/2023 â€¢â€¢â€¢â€¢ â€¢â€¢â€¢â€¢ â€¢â€¢â€¢â€¢ 9656  406</t>
  </si>
  <si>
    <t xml:space="preserve">SWIGGY                 Bengaluru     IN 03/07/2023 â€¢â€¢â€¢â€¢ â€¢â€¢â€¢â€¢ â€¢â€¢â€¢â€¢ 9656  </t>
  </si>
  <si>
    <t>4/7/2023SWIGGY                 Bengaluru     IN 03/07/2023 â€¢â€¢â€¢â€¢ â€¢â€¢â€¢â€¢ â€¢â€¢â€¢â€¢ 9656  -1611</t>
  </si>
  <si>
    <t xml:space="preserve">CREDIT CARD PAYMENT 03/07/2023 â€¢â€¢â€¢â€¢ â€¢â€¢â€¢â€¢ â€¢â€¢â€¢â€¢ 9656  </t>
  </si>
  <si>
    <t>3/7/2023CREDIT CARD PAYMENT 03/07/2023 â€¢â€¢â€¢â€¢ â€¢â€¢â€¢â€¢ â€¢â€¢â€¢â€¢ 9656  26344</t>
  </si>
  <si>
    <t xml:space="preserve">CINEPOLIS REACH AIRIA  GURUGRAM      IN 02/07/2023 â€¢â€¢â€¢â€¢ â€¢â€¢â€¢â€¢ â€¢â€¢â€¢â€¢ 9656  </t>
  </si>
  <si>
    <t>3/7/2023CINEPOLIS REACH AIRIA  GURUGRAM      IN 02/07/2023 â€¢â€¢â€¢â€¢ â€¢â€¢â€¢â€¢ â€¢â€¢â€¢â€¢ 9656  -350</t>
  </si>
  <si>
    <t xml:space="preserve">ZOMATO                 NEW DELHI     IN 02/07/2023 â€¢â€¢â€¢â€¢ â€¢â€¢â€¢â€¢ â€¢â€¢â€¢â€¢ 9656  </t>
  </si>
  <si>
    <t>3/7/2023ZOMATO                 NEW DELHI     IN 02/07/2023 â€¢â€¢â€¢â€¢ â€¢â€¢â€¢â€¢ â€¢â€¢â€¢â€¢ 9656  -1147</t>
  </si>
  <si>
    <t xml:space="preserve">Taste of Sikkim        GURGAON       IN 02/07/2023 â€¢â€¢â€¢â€¢ â€¢â€¢â€¢â€¢ â€¢â€¢â€¢â€¢ 9656  </t>
  </si>
  <si>
    <t>3/7/2023Taste of Sikkim        GURGAON       IN 02/07/2023 â€¢â€¢â€¢â€¢ â€¢â€¢â€¢â€¢ â€¢â€¢â€¢â€¢ 9656  -990</t>
  </si>
  <si>
    <t xml:space="preserve">MANJEET VITA DAIRY     GURGAON       IN 02/07/2023 â€¢â€¢â€¢â€¢ â€¢â€¢â€¢â€¢ â€¢â€¢â€¢â€¢ 9656  </t>
  </si>
  <si>
    <t>3/7/2023MANJEET VITA DAIRY     GURGAON       IN 02/07/2023 â€¢â€¢â€¢â€¢ â€¢â€¢â€¢â€¢ â€¢â€¢â€¢â€¢ 9656  -358</t>
  </si>
  <si>
    <t xml:space="preserve">sagar ratna            GURGAON       IN 02/07/2023 â€¢â€¢â€¢â€¢ â€¢â€¢â€¢â€¢ â€¢â€¢â€¢â€¢ 9656  </t>
  </si>
  <si>
    <t>3/7/2023sagar ratna            GURGAON       IN 02/07/2023 â€¢â€¢â€¢â€¢ â€¢â€¢â€¢â€¢ â€¢â€¢â€¢â€¢ 9656  -215</t>
  </si>
  <si>
    <t xml:space="preserve">RAZ*Licious            Bengaluru     IN 30/06/2023 â€¢â€¢â€¢â€¢ â€¢â€¢â€¢â€¢ â€¢â€¢â€¢â€¢ 9656  </t>
  </si>
  <si>
    <t>1/7/2023RAZ*Licious            Bengaluru     IN 30/06/2023 â€¢â€¢â€¢â€¢ â€¢â€¢â€¢â€¢ â€¢â€¢â€¢â€¢ 9656  -1010</t>
  </si>
  <si>
    <t xml:space="preserve">Flipkart Payments      BANGALORE     IN 30/06/2023 â€¢â€¢â€¢â€¢ â€¢â€¢â€¢â€¢ â€¢â€¢â€¢â€¢ 9656  </t>
  </si>
  <si>
    <t>1/7/2023Flipkart Payments      BANGALORE     IN 30/06/2023 â€¢â€¢â€¢â€¢ â€¢â€¢â€¢â€¢ â€¢â€¢â€¢â€¢ 9656  -406</t>
  </si>
  <si>
    <t xml:space="preserve">SWIGGY INSTAMART       BANGALORE     IN 30/06/2023 â€¢â€¢â€¢â€¢ â€¢â€¢â€¢â€¢ â€¢â€¢â€¢â€¢ 9656  </t>
  </si>
  <si>
    <t>1/7/2023SWIGGY INSTAMART       BANGALORE     IN 30/06/2023 â€¢â€¢â€¢â€¢ â€¢â€¢â€¢â€¢ â€¢â€¢â€¢â€¢ 9656  -577</t>
  </si>
  <si>
    <t>1/7/2023SWIGGY INSTAMART       BANGALORE     IN 30/06/2023 â€¢â€¢â€¢â€¢ â€¢â€¢â€¢â€¢ â€¢â€¢â€¢â€¢ 9656  -828</t>
  </si>
  <si>
    <t>1/7/2023SWIGGY INSTAMART       BANGALORE     IN 30/06/2023 â€¢â€¢â€¢â€¢ â€¢â€¢â€¢â€¢ â€¢â€¢â€¢â€¢ 9656  -731</t>
  </si>
  <si>
    <t xml:space="preserve">LIQUOR LAND            GURGAON       IN 30/06/2023 â€¢â€¢â€¢â€¢ â€¢â€¢â€¢â€¢ â€¢â€¢â€¢â€¢ 9656  </t>
  </si>
  <si>
    <t>1/7/2023LIQUOR LAND            GURGAON       IN 30/06/2023 â€¢â€¢â€¢â€¢ â€¢â€¢â€¢â€¢ â€¢â€¢â€¢â€¢ 9656  -6960</t>
  </si>
  <si>
    <t xml:space="preserve">SWIGGY INSTAMART       BANGALORE     IN 29/06/2023 â€¢â€¢â€¢â€¢ â€¢â€¢â€¢â€¢ â€¢â€¢â€¢â€¢ 9656  </t>
  </si>
  <si>
    <t>1/7/2023SWIGGY INSTAMART       BANGALORE     IN 29/06/2023 â€¢â€¢â€¢â€¢ â€¢â€¢â€¢â€¢ â€¢â€¢â€¢â€¢ 9656  -1092</t>
  </si>
  <si>
    <t xml:space="preserve">K301  KFC AMBIENCE MAL GURGAON       IN 29/06/2023 â€¢â€¢â€¢â€¢ â€¢â€¢â€¢â€¢ â€¢â€¢â€¢â€¢ 9656  </t>
  </si>
  <si>
    <t>30/06/2023K301  KFC AMBIENCE MAL GURGAON       IN 29/06/2023 â€¢â€¢â€¢â€¢ â€¢â€¢â€¢â€¢ â€¢â€¢â€¢â€¢ 9656  -439</t>
  </si>
  <si>
    <t xml:space="preserve">ZOMATO                 NEW DELHI     IN 29/06/2023 â€¢â€¢â€¢â€¢ â€¢â€¢â€¢â€¢ â€¢â€¢â€¢â€¢ 9656  </t>
  </si>
  <si>
    <t>30/06/2023ZOMATO                 NEW DELHI     IN 29/06/2023 â€¢â€¢â€¢â€¢ â€¢â€¢â€¢â€¢ â€¢â€¢â€¢â€¢ 9656  -863.1</t>
  </si>
  <si>
    <t xml:space="preserve">Swiggy                 Bengaluru     IN 29/06/2023 â€¢â€¢â€¢â€¢ â€¢â€¢â€¢â€¢ â€¢â€¢â€¢â€¢ 9656  </t>
  </si>
  <si>
    <t>30/06/2023Swiggy                 Bengaluru     IN 29/06/2023 â€¢â€¢â€¢â€¢ â€¢â€¢â€¢â€¢ â€¢â€¢â€¢â€¢ 9656  -534</t>
  </si>
  <si>
    <t xml:space="preserve">HENNES N MAURITZ       GURGAON       IN 29/06/2023 â€¢â€¢â€¢â€¢ â€¢â€¢â€¢â€¢ â€¢â€¢â€¢â€¢ 9656  </t>
  </si>
  <si>
    <t>30/06/2023HENNES N MAURITZ       GURGAON       IN 29/06/2023 â€¢â€¢â€¢â€¢ â€¢â€¢â€¢â€¢ â€¢â€¢â€¢â€¢ 9656  -4317.3</t>
  </si>
  <si>
    <t xml:space="preserve">PVR LIMITED            GURUGRAM      IN 29/06/2023 â€¢â€¢â€¢â€¢ â€¢â€¢â€¢â€¢ â€¢â€¢â€¢â€¢ 9656  </t>
  </si>
  <si>
    <t>30/06/2023PVR LIMITED            GURUGRAM      IN 29/06/2023 â€¢â€¢â€¢â€¢ â€¢â€¢â€¢â€¢ â€¢â€¢â€¢â€¢ 9656  -275</t>
  </si>
  <si>
    <t xml:space="preserve">SHAHEED MANOHAR LAL FI GURGAON       IN 29/06/2023 â€¢â€¢â€¢â€¢ â€¢â€¢â€¢â€¢ â€¢â€¢â€¢â€¢ 9656  </t>
  </si>
  <si>
    <t>30/06/2023SHAHEED MANOHAR LAL FI GURGAON       IN 29/06/2023 â€¢â€¢â€¢â€¢ â€¢â€¢â€¢â€¢ â€¢â€¢â€¢â€¢ 9656  -2023.6</t>
  </si>
  <si>
    <t xml:space="preserve">AMAZON PAY INDIA PRIVA BANGALORE     IN 28/06/2023 â€¢â€¢â€¢â€¢ â€¢â€¢â€¢â€¢ â€¢â€¢â€¢â€¢ 9656  </t>
  </si>
  <si>
    <t>29/06/2023AMAZON PAY INDIA PRIVA BANGALORE     IN 28/06/2023 â€¢â€¢â€¢â€¢ â€¢â€¢â€¢â€¢ â€¢â€¢â€¢â€¢ 9656  -1617</t>
  </si>
  <si>
    <t>01/08/23</t>
  </si>
  <si>
    <t>ACH D- INDIAN CLEARING CORP-MMLANHIWSIBP</t>
  </si>
  <si>
    <t>0000004032487171</t>
  </si>
  <si>
    <t>01/08/23ACH D- INDIAN CLEARING CORP-MMLANHIWSIBP000000403248717101/08/23300045041.85</t>
  </si>
  <si>
    <t>ACH D- INDIAN CLEARING CORP-RLNRF5K283PO</t>
  </si>
  <si>
    <t>0000004032223224</t>
  </si>
  <si>
    <t>01/08/23ACH D- INDIAN CLEARING CORP-RLNRF5K283PO000000403222322401/08/23240042641.85</t>
  </si>
  <si>
    <t>ACH D- INDIAN CLEARING CORP-3OWG2W4EZTWQ</t>
  </si>
  <si>
    <t>0000004032489737</t>
  </si>
  <si>
    <t>01/08/23ACH D- INDIAN CLEARING CORP-3OWG2W4EZTWQ000000403248973701/08/23600036641.85</t>
  </si>
  <si>
    <t>UPI-LE MARCHE GOOD EARTH-PAYTMQR2810050501011LKS179WGZFL@PAYTM-PYTM0123456-321374596416-PERSONAL</t>
  </si>
  <si>
    <t>0000321374596416</t>
  </si>
  <si>
    <t>01/08/23UPI-LE MARCHE GOOD EARTH-PAYTMQR2810050501011LKS179WGZFL@PAYTM-PYTM0123456-321374596416-PERSONAL000032137459641601/08/231236629.85</t>
  </si>
  <si>
    <t>UPI-SHIVA KESHARWANI-PAYTMQR281005050101ITTBWXKVM00G@PAYTM-HDFC0000485-321377820902-OUTSIDE FOOD</t>
  </si>
  <si>
    <t>0000321377820902</t>
  </si>
  <si>
    <t>01/08/23UPI-SHIVA KESHARWANI-PAYTMQR281005050101ITTBWXKVM00G@PAYTM-HDFC0000485-321377820902-OUTSIDE FOOD000032137782090201/08/232036609.85</t>
  </si>
  <si>
    <t>UPI-SAWROOP LAL-9213889152@PAYTM-PUNB0184500-321319725762-EXTERNAL</t>
  </si>
  <si>
    <t>0000321319725762</t>
  </si>
  <si>
    <t>01/08/23UPI-SAWROOP LAL-9213889152@PAYTM-PUNB0184500-321319725762-EXTERNAL000032131972576201/08/23350037109.85</t>
  </si>
  <si>
    <t>02/08/23</t>
  </si>
  <si>
    <t>UPI-XXXXXX3195-PYTM0123456-358007816471-NA</t>
  </si>
  <si>
    <t>0000358007816471</t>
  </si>
  <si>
    <t>02/08/23UPI-XXXXXX3195-PYTM0123456-358007816471-NA000035800781647102/08/231725019359.85</t>
  </si>
  <si>
    <t>UPI-SINDU SINGH-SINGHSHINDU62@OKHDFCBANK-UTIB0002456-321427809965-KW 45 3RD FLOOR GR</t>
  </si>
  <si>
    <t>0000321427809965</t>
  </si>
  <si>
    <t>02/08/23UPI-SINDU SINGH-SINGHSHINDU62@OKHDFCBANK-UTIB0002456-321427809965-KW 45 3RD FLOOR GR000032142780996502/08/2317419185.85</t>
  </si>
  <si>
    <t>04/08/23</t>
  </si>
  <si>
    <t>UPI-PURUSHOTTAM PAWAN GU-PGUPTA2611@OKHDFCBANK-HDFC0000592-321658991317-SPLITWISE BALANCE</t>
  </si>
  <si>
    <t>0000321658991317</t>
  </si>
  <si>
    <t>04/08/23UPI-PURUSHOTTAM PAWAN GU-PGUPTA2611@OKHDFCBANK-HDFC0000592-321658991317-SPLITWISE BALANCE000032165899131704/08/2386620051.85</t>
  </si>
  <si>
    <t>0000321672010513</t>
  </si>
  <si>
    <t>04/08/23UPI-MS JAYATI GUPTA-GJAYATI666@OKHDFCBANK-IDIB000S244-321672010513-MOVIE000032167201051304/08/23100021051.85</t>
  </si>
  <si>
    <t>0000321672098913</t>
  </si>
  <si>
    <t>04/08/23UPI-MS JAYATI GUPTA-GJAYATI666@OKHDFCBANK-IDIB000S244-321672098913-UPI000032167209891304/08/2320020851.85</t>
  </si>
  <si>
    <t>UPI-SWIGGY-SWIGGYUPI@AXISBANK-UTIB0000000-321683914185-SWIGGY ORDER ID 17</t>
  </si>
  <si>
    <t>0000321683914185</t>
  </si>
  <si>
    <t>04/08/23UPI-SWIGGY-SWIGGYUPI@AXISBANK-UTIB0000000-321683914185-SWIGGY ORDER ID 17000032168391418504/08/2327720574.85</t>
  </si>
  <si>
    <t>05/08/23</t>
  </si>
  <si>
    <t>UPI-AMARDEEP SINGH JOHAR-PAYTMQR28100505010110XKJZE21WCY@PAYTM-PYTM0123456-321794343823-PERSONAL</t>
  </si>
  <si>
    <t>0000321794343823</t>
  </si>
  <si>
    <t>05/08/23UPI-AMARDEEP SINGH JOHAR-PAYTMQR28100505010110XKJZE21WCY@PAYTM-PYTM0123456-321794343823-PERSONAL000032179434382305/08/233020544.85</t>
  </si>
  <si>
    <t>0000321712150882</t>
  </si>
  <si>
    <t>05/08/23UPI-MS JAYATI GUPTA-GJAYATI666@OKHDFCBANK-IDIB000S244-321712150882-SMOKE HOUSE DELI000032171215088205/08/23110021644.85</t>
  </si>
  <si>
    <t>0000321712356550</t>
  </si>
  <si>
    <t>05/08/23UPI-MS JAYATI GUPTA-GJAYATI666@OKHDFCBANK-IDIB000S244-321712356550-UPI000032171235655005/08/2323321877.85</t>
  </si>
  <si>
    <t>UPI-GROCERY STORE-8209997404@OKBIZAXIS-UTIB0000000-321712371295-GROCERY</t>
  </si>
  <si>
    <t>0000321712371295</t>
  </si>
  <si>
    <t>05/08/23UPI-GROCERY STORE-8209997404@OKBIZAXIS-UTIB0000000-321712371295-GROCERY000032171237129505/08/2314721730.85</t>
  </si>
  <si>
    <t>06/08/23</t>
  </si>
  <si>
    <t>0000321856334868</t>
  </si>
  <si>
    <t>06/08/23UPI-SHUBHAM DUA-SHUBHAMDUA45-1@OKICICI-SBIN0001759-321856334868-COOK000032185633486806/08/23200023330.85</t>
  </si>
  <si>
    <t>UPI-SWIGGY-UPISWIGGY@ICICI-ICIC0DC0099-321834141218-PERSONAL</t>
  </si>
  <si>
    <t>0000321834141218</t>
  </si>
  <si>
    <t>06/08/23UPI-SWIGGY-UPISWIGGY@ICICI-ICIC0DC0099-321834141218-PERSONAL000032183414121806/08/2314023190.85</t>
  </si>
  <si>
    <t>07/08/23</t>
  </si>
  <si>
    <t>UPI-LE MARCHE GOOD EARTH-PAYTMQR2810050501011LKS179WGZFL@PAYTM-PYTM0123456-321952467291-PERSONAL</t>
  </si>
  <si>
    <t>0000321952467291</t>
  </si>
  <si>
    <t>07/08/23UPI-LE MARCHE GOOD EARTH-PAYTMQR2810050501011LKS179WGZFL@PAYTM-PYTM0123456-321952467291-PERSONAL000032195246729107/08/231221178.85</t>
  </si>
  <si>
    <t>UPI-SHIVA KESHARWANI-PAYTMQR281005050101ITTBWXKVM00G@PAYTM-HDFC0000485-321958289470-PERSONAL</t>
  </si>
  <si>
    <t>0000321958289470</t>
  </si>
  <si>
    <t>07/08/23UPI-SHIVA KESHARWANI-PAYTMQR281005050101ITTBWXKVM00G@PAYTM-HDFC0000485-321958289470-PERSONAL000032195828947007/08/234021138.85</t>
  </si>
  <si>
    <t>UPI-GUDDU KUMAR SINGH-PAYTMQRZ3KZ6EQWK5@PAYTM-PYTM0123456-321966001753-OUTSIDE FOOD</t>
  </si>
  <si>
    <t>0000321966001753</t>
  </si>
  <si>
    <t>07/08/23UPI-GUDDU KUMAR SINGH-PAYTMQRZ3KZ6EQWK5@PAYTM-PYTM0123456-321966001753-OUTSIDE FOOD000032196600175307/08/237021068.85</t>
  </si>
  <si>
    <t>UPI-SINDU SINGH-SINGHSHINDU62@OKHDFCBANK-UTIB0002456-321945018506-GROCERY</t>
  </si>
  <si>
    <t>0000321945018506</t>
  </si>
  <si>
    <t>07/08/23UPI-SINDU SINGH-SINGHSHINDU62@OKHDFCBANK-UTIB0002456-321945018506-GROCERY000032194501850607/08/2373520333.85</t>
  </si>
  <si>
    <t>08/08/23</t>
  </si>
  <si>
    <t>UPI-SINDU SINGH-SINGHSHINDU62@OKHDFCBANK-UTIB0002456-322098640324-GROCERY KW 45 3RD</t>
  </si>
  <si>
    <t>0000322098640324</t>
  </si>
  <si>
    <t>08/08/23UPI-SINDU SINGH-SINGHSHINDU62@OKHDFCBANK-UTIB0002456-322098640324-GROCERY KW 45 3RD000032209864032408/08/2339121942.85</t>
  </si>
  <si>
    <t>09/08/23</t>
  </si>
  <si>
    <t>UPI-NUTRI VV00237-PAYTMQR2810050501011R9712L2EACE@PAYTM-PYTM0123456-322109513847-PERSONAL</t>
  </si>
  <si>
    <t>0000322109513847</t>
  </si>
  <si>
    <t>09/08/23UPI-NUTRI VV00237-PAYTMQR2810050501011R9712L2EACE@PAYTM-PYTM0123456-322109513847-PERSONAL000032210951384709/08/235021892.85</t>
  </si>
  <si>
    <t>UPI-SA PARKING SERVICES-PAYTMQR281005050101F03SP7IK9VFH@PAYTM-PYTM0123456-322109836675-PERSONAL</t>
  </si>
  <si>
    <t>0000322109836675</t>
  </si>
  <si>
    <t>09/08/23UPI-SA PARKING SERVICES-PAYTMQR281005050101F03SP7IK9VFH@PAYTM-PYTM0123456-322109836675-PERSONAL000032210983667509/08/236021832.85</t>
  </si>
  <si>
    <t>UPI-ZERODHA-ZERODHA.RAZORPAY@ICICI-ICIC0DC0099-322119872288-3937087102824085 Z</t>
  </si>
  <si>
    <t>0000322119872288</t>
  </si>
  <si>
    <t>09/08/23UPI-ZERODHA-ZERODHA.RAZORPAY@ICICI-ICIC0DC0099-322119872288-3937087102824085 Z000032211987228809/08/231500021832.85</t>
  </si>
  <si>
    <t>UPI-SWIGGY-SWIGGYUPI@AXISBANK-UTIB0000000-322122408495-SWIGGY ORDER ID 17</t>
  </si>
  <si>
    <t>0000322122408495</t>
  </si>
  <si>
    <t>09/08/23UPI-SWIGGY-SWIGGYUPI@AXISBANK-UTIB0000000-322122408495-SWIGGY ORDER ID 17000032212240849509/08/2343021402.85</t>
  </si>
  <si>
    <t>UPI-THIRD WAVE COFFEE-THIRDWAVECOFFEE.42569206@HDFCBANK-HDFC0000001-322123200295-UPI</t>
  </si>
  <si>
    <t>0000322123200295</t>
  </si>
  <si>
    <t>09/08/23UPI-THIRD WAVE COFFEE-THIRDWAVECOFFEE.42569206@HDFCBANK-HDFC0000001-322123200295-UPI000032212320029509/08/2326021142.85</t>
  </si>
  <si>
    <t>UPI-THIRD WAVE COFFEE-THIRDWAVECOFFEE.42569206@HDFCBANK-HDFC0000001-322128792199-OUTSIDE FOOD</t>
  </si>
  <si>
    <t>0000322128792199</t>
  </si>
  <si>
    <t>09/08/23UPI-THIRD WAVE COFFEE-THIRDWAVECOFFEE.42569206@HDFCBANK-HDFC0000001-322128792199-OUTSIDE FOOD000032212879219909/08/2329520847.85</t>
  </si>
  <si>
    <t>UPI-SA PARKING SERVICES-PAYTMQR281005050101F03SP7IK9VFH@PAYTM-PYTM0123456-358788495349-PERSONAL</t>
  </si>
  <si>
    <t>0000358788495349</t>
  </si>
  <si>
    <t>09/08/23UPI-SA PARKING SERVICES-PAYTMQR281005050101F03SP7IK9VFH@PAYTM-PYTM0123456-358788495349-PERSONAL000035878849534909/08/2312020727.85</t>
  </si>
  <si>
    <t>UPI-HDFC FASTAG RECHARGE-PTMFVT@PAYTM-PYTM0123456-322169227554-OID21695451199@ONE</t>
  </si>
  <si>
    <t>0000322169227554</t>
  </si>
  <si>
    <t>09/08/23UPI-HDFC FASTAG RECHARGE-PTMFVT@PAYTM-PYTM0123456-322169227554-OID21695451199@ONE000032216922755409/08/2350020227.85</t>
  </si>
  <si>
    <t>10/08/23</t>
  </si>
  <si>
    <t>UPI-SETU BROKENTUSK TECH-SETUBROKENTUSK@KAYPAY-KKBK0000431-322258402363-ACCOUNT VERIFICATI</t>
  </si>
  <si>
    <t>0000322258402363</t>
  </si>
  <si>
    <t>10/08/23UPI-SETU BROKENTUSK TECH-SETUBROKENTUSK@KAYPAY-KKBK0000431-322258402363-ACCOUNT VERIFICATI000032225840236310/08/23120226.85</t>
  </si>
  <si>
    <t>0000000000561941</t>
  </si>
  <si>
    <t>10/08/23ME DC SI 517725XXXXXX8201 YOUTUBE000000000056194110/08/2318920037.85</t>
  </si>
  <si>
    <t>11/08/23</t>
  </si>
  <si>
    <t>UPI-ADD MONEY TO WALLET-ADD-MONEY@PAYTM-PYTM0123456-322358697814-OID21731356658@PAY</t>
  </si>
  <si>
    <t>0000322358697814</t>
  </si>
  <si>
    <t>11/08/23UPI-ADD MONEY TO WALLET-ADD-MONEY@PAYTM-PYTM0123456-322358697814-OID21731356658@PAY000032235869781411/08/23100023059.85</t>
  </si>
  <si>
    <t>UPI-GROCERY STORE-8209997404@OKBIZAXIS-UTIB0000000-322369475297-EXTERNAL</t>
  </si>
  <si>
    <t>0000322369475297</t>
  </si>
  <si>
    <t>11/08/23UPI-GROCERY STORE-8209997404@OKBIZAXIS-UTIB0000000-322369475297-EXTERNAL000032236947529711/08/2312022939.85</t>
  </si>
  <si>
    <t>0908163511 TATA MOTORS LTD ORD DIV22 23</t>
  </si>
  <si>
    <t>0000090823122312</t>
  </si>
  <si>
    <t>11/08/230908163511 TATA MOTORS LTD ORD DIV22 23000009082312231211/08/233822977.85</t>
  </si>
  <si>
    <t>UPI-SWIGGYGENIE-SWIGGYGENIE@YESPAY-YESB0YESUPI-322375668884-PAY FOR MERCHANT</t>
  </si>
  <si>
    <t>0000322375668884</t>
  </si>
  <si>
    <t>11/08/23UPI-SWIGGYGENIE-SWIGGYGENIE@YESPAY-YESB0YESUPI-322375668884-PAY FOR MERCHANT000032237566888411/08/2314922828.85</t>
  </si>
  <si>
    <t>UPI-SWIGGYGENIE-SWIGGYGENIE@YESPAY-YESB0YESUPI-322375943744-PAY FOR MERCHANT</t>
  </si>
  <si>
    <t>0000322375943744</t>
  </si>
  <si>
    <t>11/08/23UPI-SWIGGYGENIE-SWIGGYGENIE@YESPAY-YESB0YESUPI-322375943744-PAY FOR MERCHANT000032237594374411/08/2343722391.85</t>
  </si>
  <si>
    <t>UPI-SWIGGYGENIE-SWIGGYGENIE@YESPAY-YESB0YESUPI-358904764805-REFUND FOR NLEGNDU</t>
  </si>
  <si>
    <t>0000358904764805</t>
  </si>
  <si>
    <t>11/08/23UPI-SWIGGYGENIE-SWIGGYGENIE@YESPAY-YESB0YESUPI-358904764805-REFUND FOR NLEGNDU000035890476480511/08/2343722828.85</t>
  </si>
  <si>
    <t>UPI-SWIGGY-SWIGGYSTORES@ICICI-ICIC0DC0099-358916476192-UPI</t>
  </si>
  <si>
    <t>0000358916476192</t>
  </si>
  <si>
    <t>11/08/23UPI-SWIGGY-SWIGGYSTORES@ICICI-ICIC0DC0099-358916476192-UPI000035891647619211/08/2343722391.85</t>
  </si>
  <si>
    <t>UPI-MOHD FAEEM ASHRAF-9958671410@PAYTM-PYTM0123456-322387481240-CAR EXTERNAL</t>
  </si>
  <si>
    <t>0000322387481240</t>
  </si>
  <si>
    <t>11/08/23UPI-MOHD FAEEM ASHRAF-9958671410@PAYTM-PYTM0123456-322387481240-CAR EXTERNAL000032238748124011/08/2320022191.85</t>
  </si>
  <si>
    <t>UPI-VIJNESH KUMAR-Q768197279@YBL-YESB0YBLUPI-322351995835-OUTSIDE FOOD</t>
  </si>
  <si>
    <t>0000322351995835</t>
  </si>
  <si>
    <t>11/08/23UPI-VIJNESH KUMAR-Q768197279@YBL-YESB0YBLUPI-322351995835-OUTSIDE FOOD000032235199583511/08/237022121.85</t>
  </si>
  <si>
    <t>UPI-SA PARKING SERVICES-PAYTMQR281005050101F03SP7IK9VFH@PAYTM-PYTM0123456-322395146691-EXTERNAL</t>
  </si>
  <si>
    <t>0000322395146691</t>
  </si>
  <si>
    <t>11/08/23UPI-SA PARKING SERVICES-PAYTMQR281005050101F03SP7IK9VFH@PAYTM-PYTM0123456-322395146691-EXTERNAL000032239514669111/08/236022061.85</t>
  </si>
  <si>
    <t>12/08/23</t>
  </si>
  <si>
    <t>UPI-PURUSHOTTAM PAWAN GU-PGUPTA2611@OKHDFCBANK-HDFC0000592-322414728331-RENT</t>
  </si>
  <si>
    <t>0000322414728331</t>
  </si>
  <si>
    <t>12/08/23UPI-PURUSHOTTAM PAWAN GU-PGUPTA2611@OKHDFCBANK-HDFC0000592-322414728331-RENT000032241472833112/08/231250034561.85</t>
  </si>
  <si>
    <t>0000359054029637</t>
  </si>
  <si>
    <t>12/08/23UPI-SHUBHAM DUA-SHUBHAMDUA45-1@OKICICI-SBIN0001759-359054029637-UPI000035905402963712/08/231325047811.85</t>
  </si>
  <si>
    <t>UPI-DEVI DUTT JOSHI-9899301788@AXL-UTIB0003942-322417286823-RENT</t>
  </si>
  <si>
    <t>0000322417286823</t>
  </si>
  <si>
    <t>12/08/23UPI-DEVI DUTT JOSHI-9899301788@AXL-UTIB0003942-322417286823-RENT000032241728682312/08/234000022061.85</t>
  </si>
  <si>
    <t>UPIRET-20230810-322258402363</t>
  </si>
  <si>
    <t>12/08/23UPIRET-20230810-32225840236300000000000000012/08/23122062.85</t>
  </si>
  <si>
    <t>UPI-SINDU SINGH-SINGHSHINDU62@OKHDFCBANK-UTIB0002456-322423354925-KW 45 3RD FLOOR GR</t>
  </si>
  <si>
    <t>0000322423354925</t>
  </si>
  <si>
    <t>12/08/23UPI-SINDU SINGH-SINGHSHINDU62@OKHDFCBANK-UTIB0002456-322423354925-KW 45 3RD FLOOR GR000032242335492512/08/2319321869.85</t>
  </si>
  <si>
    <t>13/08/23</t>
  </si>
  <si>
    <t>UPI-BOOKMYSHOW-BOOKMYSHOW.RAZORPAY@HDFCBANK-HDFC0000053-322598257171-PAY VIA RAZORPAY</t>
  </si>
  <si>
    <t>0000322598257171</t>
  </si>
  <si>
    <t>13/08/23UPI-BOOKMYSHOW-BOOKMYSHOW.RAZORPAY@HDFCBANK-HDFC0000053-322598257171-PAY VIA RAZORPAY000032259825717113/08/231161.0620708.79</t>
  </si>
  <si>
    <t>UPI-ZERODHA-ZERODHABROKING@YESBANK-YESB0000022-322527752347-8293926925527577 Z</t>
  </si>
  <si>
    <t>0000322527752347</t>
  </si>
  <si>
    <t>13/08/23UPI-ZERODHA-ZERODHABROKING@YESBANK-YESB0000022-322527752347-8293926925527577 Z000032252775234713/08/23402216686.79</t>
  </si>
  <si>
    <t>UPI-ROHRA A-8770619011@PAYTM-HSBC0110005-322519740571-NA</t>
  </si>
  <si>
    <t>0000322519740571</t>
  </si>
  <si>
    <t>13/08/23UPI-ROHRA A-8770619011@PAYTM-HSBC0110005-322519740571-NA000032251974057113/08/233879053.79</t>
  </si>
  <si>
    <t>POS 517725XXXXXX8201 OM SAI CITY FUEL</t>
  </si>
  <si>
    <t>0000000000609235</t>
  </si>
  <si>
    <t>13/08/23POS 517725XXXXXX8201 OM SAI CITY FUEL000000000060923513/08/2321006953.79</t>
  </si>
  <si>
    <t>UPI-BHUMI GENERAL STORE-GPAY-11207688890@OKBIZAXIS-UTIB0000000-322549864951-EXTERNAL</t>
  </si>
  <si>
    <t>0000322549864951</t>
  </si>
  <si>
    <t>13/08/23UPI-BHUMI GENERAL STORE-GPAY-11207688890@OKBIZAXIS-UTIB0000000-322549864951-EXTERNAL000032254986495113/08/234006553.79</t>
  </si>
  <si>
    <t>UPI-THIRD WAVE COFFEE-THIRDWAVECOFFEE.42569206@HDFCBANK-HDFC0000001-322553578911-OUTSIDE FOOD</t>
  </si>
  <si>
    <t>0000322553578911</t>
  </si>
  <si>
    <t>13/08/23UPI-THIRD WAVE COFFEE-THIRDWAVECOFFEE.42569206@HDFCBANK-HDFC0000001-322553578911-OUTSIDE FOOD000032255357891113/08/232016352.79</t>
  </si>
  <si>
    <t>UPI-SA PARKING SERVICES-PAYTMQR281005050101F03SP7IK9VFH@PAYTM-PYTM0123456-322553772377-EXTERNAL</t>
  </si>
  <si>
    <t>0000322553772377</t>
  </si>
  <si>
    <t>13/08/23UPI-SA PARKING SERVICES-PAYTMQR281005050101F03SP7IK9VFH@PAYTM-PYTM0123456-322553772377-EXTERNAL000032255377237713/08/23606292.79</t>
  </si>
  <si>
    <t>POS 517725XXXXXX8201 INOX</t>
  </si>
  <si>
    <t>0000000000002813</t>
  </si>
  <si>
    <t>13/08/23POS 517725XXXXXX8201 INOX000000000000281313/08/23606232.79</t>
  </si>
  <si>
    <t>14/08/23</t>
  </si>
  <si>
    <t>UPI-ANAND PRASAD-9560510325@PAYTM-PYTM0123456-322656599005-PERSONAL</t>
  </si>
  <si>
    <t>0000322656599005</t>
  </si>
  <si>
    <t>14/08/23UPI-ANAND PRASAD-9560510325@PAYTM-PYTM0123456-322656599005-PERSONAL000032265659900514/08/23406192.79</t>
  </si>
  <si>
    <t>0000322656694217</t>
  </si>
  <si>
    <t>14/08/23UPI-SHUBHAM DUA-SHUBHAMDUA45-1@OKICICI-SBIN0001759-322656694217-PERSONAL000032265669421714/08/231206072.79</t>
  </si>
  <si>
    <t>0000359215688232</t>
  </si>
  <si>
    <t>14/08/23UPI-SHUBHAM DUA-SHUBHAMDUA45-1@OKICICI-SBIN0001759-359215688232-UPI000035921568823214/08/231206192.79</t>
  </si>
  <si>
    <t>0000359268073089</t>
  </si>
  <si>
    <t>14/08/23UPI-SHUBHAM DUA-SHUBHAMDUA45-1@OKICICI-SBIN0001759-359268073089-UPI000035926807308914/08/231206312.79</t>
  </si>
  <si>
    <t>0000359251675605</t>
  </si>
  <si>
    <t>14/08/23UPI-SHUBHAM DUA-SHUBHAMDUA45-1@OKICICI-SBIN0001759-359251675605-UPI000035925167560514/08/231606472.79</t>
  </si>
  <si>
    <t>UPI-ZERODHA BROKING LTD-ZERODHABROKING@HDFCBANK-HDFC0000523-322656757179-6566011482253489 Z</t>
  </si>
  <si>
    <t>0000322656757179</t>
  </si>
  <si>
    <t>14/08/23UPI-ZERODHA BROKING LTD-ZERODHABROKING@HDFCBANK-HDFC0000523-322656757179-6566011482253489 Z000032265675717914/08/23806392.79</t>
  </si>
  <si>
    <t>UPI-SINDU SINGH-SINGHSHINDU62@OKHDFCBANK-UTIB0002456-322664547199-GROCERY</t>
  </si>
  <si>
    <t>0000322664547199</t>
  </si>
  <si>
    <t>14/08/23UPI-SINDU SINGH-SINGHSHINDU62@OKHDFCBANK-UTIB0002456-322664547199-GROCERY000032266454719914/08/23686324.79</t>
  </si>
  <si>
    <t>UPI-ROHRA A-8770619011@PAYTM-HSBC0110005-322624938464-NA</t>
  </si>
  <si>
    <t>0000322624938464</t>
  </si>
  <si>
    <t>14/08/23UPI-ROHRA A-8770619011@PAYTM-HSBC0110005-322624938464-NA000032262493846414/08/231806504.79</t>
  </si>
  <si>
    <t>UPI-SINDU SINGH-SINGHSHINDU62@OKHDFCBANK-UTIB0002456-322684067914-GROCERY</t>
  </si>
  <si>
    <t>0000322684067914</t>
  </si>
  <si>
    <t>14/08/23UPI-SINDU SINGH-SINGHSHINDU62@OKHDFCBANK-UTIB0002456-322684067914-GROCERY000032268406791414/08/235845920.79</t>
  </si>
  <si>
    <t>15/08/23</t>
  </si>
  <si>
    <t>UPI-SINDU SINGH-SINGHSHINDU62@OKHDFCBANK-UTIB0002456-322705272623-GROCERY KW 45 3RD</t>
  </si>
  <si>
    <t>0000322705272623</t>
  </si>
  <si>
    <t>15/08/23UPI-SINDU SINGH-SINGHSHINDU62@OKHDFCBANK-UTIB0002456-322705272623-GROCERY KW 45 3RD000032270527262315/08/231785742.79</t>
  </si>
  <si>
    <t>UPI-SKY ENTERPRISES-PAYTMQR2810050501018QJVE43GSO74@PAYTM-PYTM0123456-322798845056-OUTSIDE FOOD</t>
  </si>
  <si>
    <t>0000322798845056</t>
  </si>
  <si>
    <t>15/08/23UPI-SKY ENTERPRISES-PAYTMQR2810050501018QJVE43GSO74@PAYTM-PYTM0123456-322798845056-OUTSIDE FOOD000032279884505615/08/235705172.79</t>
  </si>
  <si>
    <t>UPI-JUNASH M SANGMA-PAYTMQR8WF66116B4@PAYTM-PYTM0123456-322713115732-GIFTING</t>
  </si>
  <si>
    <t>0000322713115732</t>
  </si>
  <si>
    <t>15/08/23UPI-JUNASH M SANGMA-PAYTMQR8WF66116B4@PAYTM-PYTM0123456-322713115732-GIFTING000032271311573215/08/231505022.79</t>
  </si>
  <si>
    <t>16/08/23</t>
  </si>
  <si>
    <t>UPI-SHIVA KESHARWANI-PAYTMQRU069FPIB03@PAYTM-PYTM0123456-322821055491-OUTSIDE FOOD</t>
  </si>
  <si>
    <t>0000322821055491</t>
  </si>
  <si>
    <t>16/08/23UPI-SHIVA KESHARWANI-PAYTMQRU069FPIB03@PAYTM-PYTM0123456-322821055491-OUTSIDE FOOD000032282105549116/08/23404982.79</t>
  </si>
  <si>
    <t>UPI-SHIVA KESHARWANI-PAYTMQRU069FPIB03@PAYTM-PYTM0123456-322826713126-OUTSIDE FOOD</t>
  </si>
  <si>
    <t>0000322826713126</t>
  </si>
  <si>
    <t>16/08/23UPI-SHIVA KESHARWANI-PAYTMQRU069FPIB03@PAYTM-PYTM0123456-322826713126-OUTSIDE FOOD000032282671312616/08/23454937.79</t>
  </si>
  <si>
    <t>UPI-SHIVA KESHARWANI-PAYTMQRU069FPIB03@PAYTM-PYTM0123456-322826746651-OUTSIDE FOOD</t>
  </si>
  <si>
    <t>0000322826746651</t>
  </si>
  <si>
    <t>16/08/23UPI-SHIVA KESHARWANI-PAYTMQRU069FPIB03@PAYTM-PYTM0123456-322826746651-OUTSIDE FOOD000032282674665116/08/23304907.79</t>
  </si>
  <si>
    <t>UPI-GUDDU KUMAR SINGH-PAYTMQRZ3KZ6EQWK5@PAYTM-PYTM0123456-322828530178-OUTSIDE FOOD</t>
  </si>
  <si>
    <t>0000322828530178</t>
  </si>
  <si>
    <t>16/08/23UPI-GUDDU KUMAR SINGH-PAYTMQRZ3KZ6EQWK5@PAYTM-PYTM0123456-322828530178-OUTSIDE FOOD000032282853017816/08/23704837.79</t>
  </si>
  <si>
    <t>UPI-SINDU  SINGH-SINGHSHINDU62@OKAXIS-UTIB0002456-322843304592-GROCERY KW 45 3RD</t>
  </si>
  <si>
    <t>0000322843304592</t>
  </si>
  <si>
    <t>17/08/23</t>
  </si>
  <si>
    <t>16/08/23UPI-SINDU  SINGH-SINGHSHINDU62@OKAXIS-UTIB0002456-322843304592-GROCERY KW 45 3RD000032284330459217/08/233084529.79</t>
  </si>
  <si>
    <t>UPI-ZERODHA BROKING LTD-ZERODHABROKING@HDFCBANK-HDFC0000523-322947854017-7460243523594199 Z</t>
  </si>
  <si>
    <t>0000322947854017</t>
  </si>
  <si>
    <t>17/08/23UPI-ZERODHA BROKING LTD-ZERODHABROKING@HDFCBANK-HDFC0000523-322947854017-7460243523594199 Z000032294785401717/08/2320004529.79</t>
  </si>
  <si>
    <t>UPI-ZERODHA BROKING LTD-ZERODHABROKING@HDFCBANK-HDFC0000523-322947908416-1027651580712673 Z</t>
  </si>
  <si>
    <t>0000322947908416</t>
  </si>
  <si>
    <t>17/08/23UPI-ZERODHA BROKING LTD-ZERODHABROKING@HDFCBANK-HDFC0000523-322947908416-1027651580712673 Z000032294790841617/08/2310003529.79</t>
  </si>
  <si>
    <t>UPI-GUJARAT COOPERATIVE -CCA.2518181@ICICI-ICIC0DC0099-322955099372-COLLECT-PAY-REQUES</t>
  </si>
  <si>
    <t>0000322955099372</t>
  </si>
  <si>
    <t>17/08/23UPI-GUJARAT COOPERATIVE -CCA.2518181@ICICI-ICIC0DC0099-322955099372-COLLECT-PAY-REQUES000032295509937217/08/237502779.79</t>
  </si>
  <si>
    <t>UPI-PURUSHOTTAM PAWAN GU-PGUPTA2611@OKHDFCBANK-HDFC0000592-322954983525-SPLITWISE BALANCE</t>
  </si>
  <si>
    <t>0000322954983525</t>
  </si>
  <si>
    <t>17/08/23UPI-PURUSHOTTAM PAWAN GU-PGUPTA2611@OKHDFCBANK-HDFC0000592-322954983525-SPLITWISE BALANCE000032295498352517/08/23896511744.79</t>
  </si>
  <si>
    <t>UPI-AXIS-CRED.CLUB@AXISB-UTIB0000114-322950671089-PAYMENT ON CRED</t>
  </si>
  <si>
    <t>0000322950671089</t>
  </si>
  <si>
    <t>17/08/23UPI-AXIS-CRED.CLUB@AXISB-UTIB0000114-322950671089-PAYMENT ON CRED000032295067108917/08/2397152029.79</t>
  </si>
  <si>
    <t>UPI-PAYTM-WALLETMONEYTOBANK@PAYTM-PYTM0123456-322921031503-NA</t>
  </si>
  <si>
    <t>0000322921031503</t>
  </si>
  <si>
    <t>17/08/23UPI-PAYTM-WALLETMONEYTOBANK@PAYTM-PYTM0123456-322921031503-NA000032292103150317/08/2310004029.79</t>
  </si>
  <si>
    <t>UPI-VATIKA BUSINESS PARK-Q433260169@YBL-YESB0YBLUPI-322962544137-OUTSIDE FOOD</t>
  </si>
  <si>
    <t>0000322962544137</t>
  </si>
  <si>
    <t>17/08/23UPI-VATIKA BUSINESS PARK-Q433260169@YBL-YESB0YBLUPI-322962544137-OUTSIDE FOOD000032296254413717/08/235203509.79</t>
  </si>
  <si>
    <t>UPI-REFRESHMENT ZONE-PAYTMQR1NPFCF05DJ@PAYTM-PYTM0123456-322963075149-OUTSIDE FOOD</t>
  </si>
  <si>
    <t>0000322963075149</t>
  </si>
  <si>
    <t>17/08/23UPI-REFRESHMENT ZONE-PAYTMQR1NPFCF05DJ@PAYTM-PYTM0123456-322963075149-OUTSIDE FOOD000032296307514917/08/23403469.79</t>
  </si>
  <si>
    <t>18/08/23</t>
  </si>
  <si>
    <t>UPI-RAJENDRA EMPORIUM-PAYTMQR2810050501011F0B2G6QQNXX@PAYTM-PYTM0123456-323089685808-PERSONAL</t>
  </si>
  <si>
    <t>0000323089685808</t>
  </si>
  <si>
    <t>18/08/23UPI-RAJENDRA EMPORIUM-PAYTMQR2810050501011F0B2G6QQNXX@PAYTM-PYTM0123456-323089685808-PERSONAL000032308968580818/08/235002969.79</t>
  </si>
  <si>
    <t>19/08/23</t>
  </si>
  <si>
    <t>0000323111994824</t>
  </si>
  <si>
    <t>19/08/23UPI-MS JAYATI GUPTA-GJAYATI666@OKHDFCBANK-IDIB000S244-323111994824-FOOD000032311199482419/08/239002069.79</t>
  </si>
  <si>
    <t>UPI-BECHANLAL CHAURSIYA-PAYTMQRDA0PAORF1F@PAYTM-PYTM0123456-323113538057-PERSONAL</t>
  </si>
  <si>
    <t>0000323113538057</t>
  </si>
  <si>
    <t>19/08/23UPI-BECHANLAL CHAURSIYA-PAYTMQRDA0PAORF1F@PAYTM-PYTM0123456-323113538057-PERSONAL000032311353805719/08/23302039.79</t>
  </si>
  <si>
    <t>POS 517725XXXXXX8201 MSW*NOMITEA PRIV</t>
  </si>
  <si>
    <t>0000000000823368</t>
  </si>
  <si>
    <t>19/08/23POS 517725XXXXXX8201 MSW*NOMITEA PRIV000000000082336819/08/233101729.79</t>
  </si>
  <si>
    <t>POS 517725XXXXXX8201 VENTOTA RETAIL M</t>
  </si>
  <si>
    <t>0000000000023949</t>
  </si>
  <si>
    <t>19/08/23POS 517725XXXXXX8201 VENTOTA RETAIL M000000000002394919/08/23900829.79</t>
  </si>
  <si>
    <t>0000323115912498</t>
  </si>
  <si>
    <t>19/08/23UPI-SWASTIKA ANAND-SWASTIKA0110-1@OKHDFCBANK-HDFC0001475-323115912498-UPI000032311591249819/08/2385914.79</t>
  </si>
  <si>
    <t>UPI-EKTA SINGH-ES7982767242@PAYTM-PYTM0123456-359721221107-SENT FROM PAYTM</t>
  </si>
  <si>
    <t>0000359721221107</t>
  </si>
  <si>
    <t>19/08/23UPI-EKTA SINGH-ES7982767242@PAYTM-PYTM0123456-359721221107-SENT FROM PAYTM000035972122110719/08/235351449.79</t>
  </si>
  <si>
    <t>UPI-ADD MONEY TO WALLET-ADD-MONEY@PAYTM-PYTM0123456-323163493900-OID21759185155@PAY</t>
  </si>
  <si>
    <t>0000323163493900</t>
  </si>
  <si>
    <t>19/08/23UPI-ADD MONEY TO WALLET-ADD-MONEY@PAYTM-PYTM0123456-323163493900-OID21759185155@PAY000032316349390019/08/232501199.79</t>
  </si>
  <si>
    <t>0000323127995135</t>
  </si>
  <si>
    <t>19/08/23UPI-SWASTIKA ANAND-SWASTIKA0110-1@OKHDFCBANK-HDFC0001475-323127995135-GOAAA000032312799513519/08/231022511424.79</t>
  </si>
  <si>
    <t>UPI-TANVEER SINGH-LDRUBRA8@OKHDFCBANK-BARB0BLYHAR-323128001122-UPI</t>
  </si>
  <si>
    <t>0000323128001122</t>
  </si>
  <si>
    <t>19/08/23UPI-TANVEER SINGH-LDRUBRA8@OKHDFCBANK-BARB0BLYHAR-323128001122-UPI000032312800112219/08/231022521649.79</t>
  </si>
  <si>
    <t>UPI-ISHITA AGRAWAL-8171817799@PAYTM-HDFC0004713-359748348962-SENT FROM PAYTM</t>
  </si>
  <si>
    <t>0000359748348962</t>
  </si>
  <si>
    <t>19/08/23UPI-ISHITA AGRAWAL-8171817799@PAYTM-HDFC0004713-359748348962-SENT FROM PAYTM000035974834896219/08/231022531874.79</t>
  </si>
  <si>
    <t>POS 517725XXXXXX8201 IBIBO GROUP PRIV</t>
  </si>
  <si>
    <t>0000323144076342</t>
  </si>
  <si>
    <t>19/08/23POS 517725XXXXXX8201 IBIBO GROUP PRIV000032314407634219/08/232234019759.79</t>
  </si>
  <si>
    <t>0000323126088911</t>
  </si>
  <si>
    <t>19/08/23POS 517725XXXXXX8201 IBIBO GROUP PRIV000032312608891119/08/2321194-1434.21</t>
  </si>
  <si>
    <t>UPI-TANVEER SINGH-LDRUBRA8@OKHDFCBANK-BARB0BLYHAR-323128372977-UPI</t>
  </si>
  <si>
    <t>0000323128372977</t>
  </si>
  <si>
    <t>19/08/23UPI-TANVEER SINGH-LDRUBRA8@OKHDFCBANK-BARB0BLYHAR-323128372977-UPI000032312837297719/08/23650-784.21</t>
  </si>
  <si>
    <t>0000323128587716</t>
  </si>
  <si>
    <t>19/08/23UPI-SWASTIKA ANAND-SWASTIKA0110-1@OKHDFCBANK-HDFC0001475-323128587716-UPI000032312858771619/08/236504665.79</t>
  </si>
  <si>
    <t>18/07/23</t>
  </si>
  <si>
    <t>UPI-GUDDU KUMAR SINGH-PAYTMQRZ3KZ6EQWK5@PAYTM-PYTM0123456-319918076999-COFFEE</t>
  </si>
  <si>
    <t>0000319918076999</t>
  </si>
  <si>
    <t>18/07/23UPI-GUDDU KUMAR SINGH-PAYTMQRZ3KZ6EQWK5@PAYTM-PYTM0123456-319918076999-COFFEE000031991807699918/07/23709703.56</t>
  </si>
  <si>
    <t>UPI-AMIT KESHARWANI-Q924660075@YBL-HDFC0000485-319921583506-OUTSIDE FOOD</t>
  </si>
  <si>
    <t>0000319921583506</t>
  </si>
  <si>
    <t>18/07/23UPI-AMIT KESHARWANI-Q924660075@YBL-HDFC0000485-319921583506-OUTSIDE FOOD000031992158350618/07/23709633.56</t>
  </si>
  <si>
    <t>APRJUN23 INSTAALERTCHG 45 SMS 220523-MIR2419955585266</t>
  </si>
  <si>
    <t>MIR2419955585266</t>
  </si>
  <si>
    <t>18/07/23APRJUN23 INSTAALERTCHG 45 SMS 220523-MIR2419955585266MIR241995558526618/07/2310.629622.94</t>
  </si>
  <si>
    <t>19/07/23</t>
  </si>
  <si>
    <t>UPI-SINGHSHINDU62OKICICI-SINGHSHINDU62@OKICICI-UTIB0002456-320004825477-KW 45 3RD FLOOR GR</t>
  </si>
  <si>
    <t>0000320004825477</t>
  </si>
  <si>
    <t>19/07/23UPI-SINGHSHINDU62OKICICI-SINGHSHINDU62@OKICICI-UTIB0002456-320004825477-KW 45 3RD FLOOR GR000032000482547719/07/2315198103.94</t>
  </si>
  <si>
    <t>UPI-AMIT KESHARWANI-Q924660075@YBL-HDFC0000485-320039300772-OUTSIDE FOOD</t>
  </si>
  <si>
    <t>0000320039300772</t>
  </si>
  <si>
    <t>19/07/23UPI-AMIT KESHARWANI-Q924660075@YBL-HDFC0000485-320039300772-OUTSIDE FOOD000032003930077219/07/23608043.94</t>
  </si>
  <si>
    <t>0000320045424569</t>
  </si>
  <si>
    <t>19/07/23UPI-SWASTIKA ANAND-SWASTIKA0110-1@OKHDFCBANK-HDFC0001475-320045424569-UPI000032004542456919/07/23908133.94</t>
  </si>
  <si>
    <t>UPI-SINDU SINGH-SINGHSHINDU62@OKHDFCBANK-UTIB0002456-320056886900-KW 45 3RD FLOOR GR</t>
  </si>
  <si>
    <t>0000320056886900</t>
  </si>
  <si>
    <t>20/07/23</t>
  </si>
  <si>
    <t>19/07/23UPI-SINDU SINGH-SINGHSHINDU62@OKHDFCBANK-UTIB0002456-320056886900-KW 45 3RD FLOOR GR000032005688690020/07/235565707.94</t>
  </si>
  <si>
    <t>UPI-AMIT KESHARWANI-Q924660075@YBL-HDFC0000485-320166905272-OUTSIDE FOOD</t>
  </si>
  <si>
    <t>0000320166905272</t>
  </si>
  <si>
    <t>20/07/23UPI-AMIT KESHARWANI-Q924660075@YBL-HDFC0000485-320166905272-OUTSIDE FOOD000032016690527220/07/23405667.94</t>
  </si>
  <si>
    <t>UPI-SUKHMANI HOSPITAL-SUKHMANI7372@ICICI-ICIC0DC0099-320173352178-DOCTOR EXIGENCY</t>
  </si>
  <si>
    <t>0000320173352178</t>
  </si>
  <si>
    <t>20/07/23UPI-SUKHMANI HOSPITAL-SUKHMANI7372@ICICI-ICIC0DC0099-320173352178-DOCTOR EXIGENCY000032017335217820/07/2312005667.94</t>
  </si>
  <si>
    <t>UPI-SAMEER BATRA-PAYTMQR2810050501012SQE7GYD67L2@PAYTM-PYTM0123456-320173511920-MEDICINE PERSONAL</t>
  </si>
  <si>
    <t>0000320173511920</t>
  </si>
  <si>
    <t>20/07/23UPI-SAMEER BATRA-PAYTMQR2810050501012SQE7GYD67L2@PAYTM-PYTM0123456-320173511920-MEDICINE PERSONAL000032017351192020/07/235505117.94</t>
  </si>
  <si>
    <t>UPI-MAIRUL NISHA-PAYTMQRP8PVHA8ZX9@PAYTM-PYTM0123456-320173964101-PERSONAL COCONUT</t>
  </si>
  <si>
    <t>0000320173964101</t>
  </si>
  <si>
    <t>20/07/23UPI-MAIRUL NISHA-PAYTMQRP8PVHA8ZX9@PAYTM-PYTM0123456-320173964101-PERSONAL COCONUT000032017396410120/07/23605057.94</t>
  </si>
  <si>
    <t>21/07/23</t>
  </si>
  <si>
    <t>UPI-PREMCHAND-PAYTMQR281005050101L70X9LO6JZZJ@PAYTM-SBIN0007836-320294368239-AUTO PERSONAL EXPE</t>
  </si>
  <si>
    <t>0000320294368239</t>
  </si>
  <si>
    <t>21/07/23UPI-PREMCHAND-PAYTMQR281005050101L70X9LO6JZZJ@PAYTM-SBIN0007836-320294368239-AUTO PERSONAL EXPE000032029436823921/07/231254932.94</t>
  </si>
  <si>
    <t>CHQ DEP - TRANSFER OW 1 - NOIDA WBO</t>
  </si>
  <si>
    <t>0000000000004298</t>
  </si>
  <si>
    <t>21/07/23CHQ DEP - TRANSFER OW 1 - NOIDA WBO000000000000429821/07/232060025532.94</t>
  </si>
  <si>
    <t>ME DC SI 517725XXXXXX8201 GOOGLEPLAY</t>
  </si>
  <si>
    <t>0000000000605049</t>
  </si>
  <si>
    <t>21/07/23ME DC SI 517725XXXXXX8201 GOOGLEPLAY000000000060504921/07/2313025402.94</t>
  </si>
  <si>
    <t>UPI-TOY POSTER-GPAY-11180024919@OKBIZAXIS-UTIB0000000-320207698441-PERSONAL MOBILE PH</t>
  </si>
  <si>
    <t>0000320207698441</t>
  </si>
  <si>
    <t>21/07/23UPI-TOY POSTER-GPAY-11180024919@OKBIZAXIS-UTIB0000000-320207698441-PERSONAL MOBILE PH000032020769844121/07/2328025122.94</t>
  </si>
  <si>
    <t>UPI-TOY POSTER-GPAY-11180024919@OKBIZAXIS-UTIB0000000-356849705582-PERSONAL MOBILE PH</t>
  </si>
  <si>
    <t>0000356849705582</t>
  </si>
  <si>
    <t>21/07/23UPI-TOY POSTER-GPAY-11180024919@OKBIZAXIS-UTIB0000000-356849705582-PERSONAL MOBILE PH000035684970558221/07/2317024952.94</t>
  </si>
  <si>
    <t>23/07/23</t>
  </si>
  <si>
    <t>UPI-SINDU SINGH-SINGHSHINDU62@OKHDFCBANK-UTIB0002456-320458515472-KW 45 3RD FLOOR GR</t>
  </si>
  <si>
    <t>0000320458515472</t>
  </si>
  <si>
    <t>23/07/23UPI-SINDU SINGH-SINGHSHINDU62@OKHDFCBANK-UTIB0002456-320458515472-KW 45 3RD FLOOR GR000032045851547223/07/234193933.94</t>
  </si>
  <si>
    <t>24/07/23</t>
  </si>
  <si>
    <t>UPI-SHIVA KESHARWANI-Q730687019@YBL-YESB0YBLUPI-320568589736-OUTSIDE FOOD</t>
  </si>
  <si>
    <t>0000320568589736</t>
  </si>
  <si>
    <t>24/07/23UPI-SHIVA KESHARWANI-Q730687019@YBL-YESB0YBLUPI-320568589736-OUTSIDE FOOD000032056858973624/07/23653868.94</t>
  </si>
  <si>
    <t>25/07/23</t>
  </si>
  <si>
    <t>UPI-LE MARCHE GOOD EARTH-PAYTMQR2810050501011LKS179WGZFL@PAYTM-PYTM0123456-320687167520-GROCERY</t>
  </si>
  <si>
    <t>0000320687167520</t>
  </si>
  <si>
    <t>25/07/23UPI-LE MARCHE GOOD EARTH-PAYTMQR2810050501011LKS179WGZFL@PAYTM-PYTM0123456-320687167520-GROCERY000032068716752025/07/23133815.94</t>
  </si>
  <si>
    <t>UPI-GROWW-GROWWRPD@KAYPAY-KKBK0000958-320694626848-ACCOUNT VERIFICATI</t>
  </si>
  <si>
    <t>0000320694626848</t>
  </si>
  <si>
    <t>25/07/23UPI-GROWW-GROWWRPD@KAYPAY-KKBK0000958-320694626848-ACCOUNT VERIFICATI000032069462684825/07/2313814.94</t>
  </si>
  <si>
    <t>UPI-SPOTIFY INDIA-SPOTIFY.BDSI@ICICI-ICIC0DC0099-320687802933-MANDATEREQUEST</t>
  </si>
  <si>
    <t>0000320687802933</t>
  </si>
  <si>
    <t>25/07/23UPI-SPOTIFY INDIA-SPOTIFY.BDSI@ICICI-ICIC0DC0099-320687802933-MANDATEREQUEST000032068780293325/07/231193695.94</t>
  </si>
  <si>
    <t>26/07/23</t>
  </si>
  <si>
    <t>UPI-SINDU SINGH-SINGHSHINDU62@OKHDFCBANK-UTIB0002456-320710095995-GROCERY KW 45 3RD</t>
  </si>
  <si>
    <t>0000320710095995</t>
  </si>
  <si>
    <t>26/07/23UPI-SINDU SINGH-SINGHSHINDU62@OKHDFCBANK-UTIB0002456-320710095995-GROCERY KW 45 3RD000032071009599526/07/232973398.94</t>
  </si>
  <si>
    <t>UPI-SHIVA KESHARWANI-PAYTMQR281005050101ITTBWXKVM00G@PAYTM-HDFC0000485-320723514740-OUTSIDE FOOD</t>
  </si>
  <si>
    <t>0000320723514740</t>
  </si>
  <si>
    <t>26/07/23UPI-SHIVA KESHARWANI-PAYTMQR281005050101ITTBWXKVM00G@PAYTM-HDFC0000485-320723514740-OUTSIDE FOOD000032072351474026/07/23206569.66</t>
  </si>
  <si>
    <t>UPI-LAKHAN SINGH-PAYTMQR12R5J5EJTM@PAYTM-PYTM0123456-320725597295-PERSONAL FLOWERS</t>
  </si>
  <si>
    <t>0000320725597295</t>
  </si>
  <si>
    <t>26/07/23UPI-LAKHAN SINGH-PAYTMQR12R5J5EJTM@PAYTM-PYTM0123456-320725597295-PERSONAL FLOWERS000032072559729526/07/231506419.66</t>
  </si>
  <si>
    <t>UPI-LICIOUS-LICIOUS.RZP@AXISBANK-UTIB0001507-320726391602-UPI INTENT</t>
  </si>
  <si>
    <t>0000320726391602</t>
  </si>
  <si>
    <t>26/07/23UPI-LICIOUS-LICIOUS.RZP@AXISBANK-UTIB0001507-320726391602-UPI INTENT000032072639160226/07/235025917.66</t>
  </si>
  <si>
    <t>27/07/23</t>
  </si>
  <si>
    <t>0000320839712970</t>
  </si>
  <si>
    <t>27/07/23UPI-MS JAYATI GUPTA-GJAYATI666@OKHDFCBANK-IDIB000S244-320839712970-PERSONAL000032083971297027/07/236005317.66</t>
  </si>
  <si>
    <t>57500000389159-779704709</t>
  </si>
  <si>
    <t>0000307275186546</t>
  </si>
  <si>
    <t>27/07/2357500000389159-779704709000030727518654627/07/2311519.1916836.85</t>
  </si>
  <si>
    <t>UPI-ICCL ZERODHA COIN-ZERODHAMF@HDFCBANK-HDFC0000060-320853623025-W3RWXTHUGBAGYEW49M</t>
  </si>
  <si>
    <t>0000320853623025</t>
  </si>
  <si>
    <t>27/07/23UPI-ICCL ZERODHA COIN-ZERODHAMF@HDFCBANK-HDFC0000060-320853623025-W3RWXTHUGBAGYEW49M000032085362302527/07/23135003336.85</t>
  </si>
  <si>
    <t>0000320840426382</t>
  </si>
  <si>
    <t>27/07/23UPI-MS JAYATI GUPTA-GJAYATI666@OKHDFCBANK-IDIB000S244-320840426382-UPI000032084042638227/07/236003936.85</t>
  </si>
  <si>
    <t>0000320840653967</t>
  </si>
  <si>
    <t>27/07/23UPI-MS JAYATI GUPTA-GJAYATI666@OKHDFCBANK-IDIB000S244-320840653967-UPI000032084065396727/07/233003636.85</t>
  </si>
  <si>
    <t>UPIRET-20230725-320694626848</t>
  </si>
  <si>
    <t>27/07/23UPIRET-20230725-32069462684800000000000000027/07/2313637.85</t>
  </si>
  <si>
    <t>28/07/23</t>
  </si>
  <si>
    <t>UPI-LE MARCHE GOOD EARTH-PAYTMQR2810050501011LKS179WGZFL@PAYTM-PYTM0123456-320964726113-PERSONAL</t>
  </si>
  <si>
    <t>0000320964726113</t>
  </si>
  <si>
    <t>28/07/23UPI-LE MARCHE GOOD EARTH-PAYTMQR2810050501011LKS179WGZFL@PAYTM-PYTM0123456-320964726113-PERSONAL000032096472611328/07/23183619.85</t>
  </si>
  <si>
    <t>UPI-SINDU SINGH-SINGHSHINDU62@OKHDFCBANK-UTIB0002456-320988003481-GROCERY</t>
  </si>
  <si>
    <t>0000320988003481</t>
  </si>
  <si>
    <t>28/07/23UPI-SINDU SINGH-SINGHSHINDU62@OKHDFCBANK-UTIB0002456-320988003481-GROCERY000032098800348128/07/235773042.85</t>
  </si>
  <si>
    <t>29/07/23</t>
  </si>
  <si>
    <t>CHQ DEP - TRANSFER OW - NOIDA WBO</t>
  </si>
  <si>
    <t>0000000000004306</t>
  </si>
  <si>
    <t>29/07/23CHQ DEP - TRANSFER OW - NOIDA WBO000000000000430629/07/232300026042.85</t>
  </si>
  <si>
    <t>30/07/23</t>
  </si>
  <si>
    <t>UPI-SINDU SINGH-SINGHSHINDU62@OKHDFCBANK-UTIB0002456-321131997948-GROCERY LW 45 3RD</t>
  </si>
  <si>
    <t>0000321131997948</t>
  </si>
  <si>
    <t>30/07/23UPI-SINDU SINGH-SINGHSHINDU62@OKHDFCBANK-UTIB0002456-321131997948-GROCERY LW 45 3RD000032113199794830/07/2331625726.85</t>
  </si>
  <si>
    <t>UPI-PURUSHOTTAM PAWAN GU-PGUPTA2611@OKHDFCBANK-HDFC0000592-321134064833-MAID</t>
  </si>
  <si>
    <t>0000321134064833</t>
  </si>
  <si>
    <t>30/07/23UPI-PURUSHOTTAM PAWAN GU-PGUPTA2611@OKHDFCBANK-HDFC0000592-321134064833-MAID000032113406483330/07/23100026726.85</t>
  </si>
  <si>
    <t>31/07/23</t>
  </si>
  <si>
    <t>0000321264207841</t>
  </si>
  <si>
    <t>31/07/23UPI-SHUBHAM DUA-SHUBHAMDUA45@OKHDFCBANK-HDFC0000262-321264207841-UPI000032126420784131/07/23935152110.85</t>
  </si>
  <si>
    <t>UPI-XXXXXX3195-PYTM0123456-357832903825-NA</t>
  </si>
  <si>
    <t>0000357832903825</t>
  </si>
  <si>
    <t>31/07/23UPI-XXXXXX3195-PYTM0123456-357832903825-NA000035783290382531/07/23360048510.85</t>
  </si>
  <si>
    <t>UPI-SINDU SINGH-SINGHSHINDU62@OKHDFCBANK-UTIB0002456-321270802504-KW 45 3RD FLOOR GR</t>
  </si>
  <si>
    <t>0000321270802504</t>
  </si>
  <si>
    <t>31/07/23UPI-SINDU SINGH-SINGHSHINDU62@OKHDFCBANK-UTIB0002456-321270802504-KW 45 3RD FLOOR GR000032127080250431/07/2346948041.85</t>
  </si>
  <si>
    <t>House</t>
  </si>
  <si>
    <t>UPI-XXXXXX3195-PYTM0123456-359743546712-NA</t>
  </si>
  <si>
    <t>0000359743546712</t>
  </si>
  <si>
    <t>20/08/23</t>
  </si>
  <si>
    <t>19/08/23UPI-XXXXXX3195-PYTM0123456-359743546712-NA000035974354671220/08/234800515.79</t>
  </si>
  <si>
    <t>UPI-ISHITA AGRAWAL-8171817799@PAYTM-HDFC0004713-359819188574-SENT FROM PAYTM</t>
  </si>
  <si>
    <t>0000359819188574</t>
  </si>
  <si>
    <t>20/08/23UPI-ISHITA AGRAWAL-8171817799@PAYTM-HDFC0004713-359819188574-SENT FROM PAYTM000035981918857420/08/236501165.79</t>
  </si>
  <si>
    <t>UPI-RACKONNECT PINNACLE -9999387356@SBI-SBIN0041077-323243428444-PERSONAL</t>
  </si>
  <si>
    <t>0000323243428444</t>
  </si>
  <si>
    <t>20/08/23UPI-RACKONNECT PINNACLE -9999387356@SBI-SBIN0041077-323243428444-PERSONAL000032324342844420/08/23300865.79</t>
  </si>
  <si>
    <t>UPI-GROCERY STORE-8209997404@OKBIZAXIS-UTIB0000000-323244692278-GROCERY VITA</t>
  </si>
  <si>
    <t>0000323244692278</t>
  </si>
  <si>
    <t>20/08/23UPI-GROCERY STORE-8209997404@OKBIZAXIS-UTIB0000000-323244692278-GROCERY VITA000032324469227820/08/23153712.79</t>
  </si>
  <si>
    <t>POS 517725XXXXXX8201 WWW.HOSTELWORLD.</t>
  </si>
  <si>
    <t>0000000000272868</t>
  </si>
  <si>
    <t>20/08/23POS 517725XXXXXX8201 WWW.HOSTELWORLD.000000000027286820/08/231109.62-396.83</t>
  </si>
  <si>
    <t>0000323258936075</t>
  </si>
  <si>
    <t>21/08/23</t>
  </si>
  <si>
    <t>20/08/23UPI-SWASTIKA ANAND-SWASTIKA0110-1@OKHDFCBANK-HDFC0001475-323258936075-UPI000032325893607521/08/2342528.17</t>
  </si>
  <si>
    <t>21/08/23INT. ON SWCR ON-5030079317725100000000000000020/08/23432.17</t>
  </si>
  <si>
    <t>21/08/23SWEEP-IN CREDIT - 5030079317725100000000000000020/08/23397429.17</t>
  </si>
  <si>
    <t>UPI-AMIT KESHARWANI-Q442118247@YBL-HDFC0000485-323366034096-OUTSIDE FOOD</t>
  </si>
  <si>
    <t>0000323366034096</t>
  </si>
  <si>
    <t>21/08/23UPI-AMIT KESHARWANI-Q442118247@YBL-HDFC0000485-323366034096-OUTSIDE FOOD000032336603409621/08/2310419.17</t>
  </si>
  <si>
    <t>UPI-AMIT KESHARWANI-Q442118247@YBL-HDFC0000485-323366048277-OUTSIDE FOOD</t>
  </si>
  <si>
    <t>0000323366048277</t>
  </si>
  <si>
    <t>21/08/23UPI-AMIT KESHARWANI-Q442118247@YBL-HDFC0000485-323366048277-OUTSIDE FOOD000032336604827721/08/2320399.17</t>
  </si>
  <si>
    <t>UPI-EKTA SINGH-ES7982767242@PAYTM-PYTM0123456-323370105084-OUTSIDE FOOD</t>
  </si>
  <si>
    <t>0000323370105084</t>
  </si>
  <si>
    <t>21/08/23UPI-EKTA SINGH-ES7982767242@PAYTM-PYTM0123456-323370105084-OUTSIDE FOOD000032337010508421/08/2370329.17</t>
  </si>
  <si>
    <t>UPI-ISHITA AGRAWAL-8171817799@PAYTM-HDFC0004713-323321426641-SENT FROM PAYTM</t>
  </si>
  <si>
    <t>0000323321426641</t>
  </si>
  <si>
    <t>21/08/23UPI-ISHITA AGRAWAL-8171817799@PAYTM-HDFC0004713-323321426641-SENT FROM PAYTM000032332142664121/08/23275604.17</t>
  </si>
  <si>
    <t>0000000000183229</t>
  </si>
  <si>
    <t>21/08/23ME DC SI 517725XXXXXX8201 GOOGLEPLAY000000000018322921/08/23130474.17</t>
  </si>
  <si>
    <t>UPI-SINDU SINGH-SINGHSHINDU62@OKHDFCBANK-UTIB0002456-323384465942-GROCERY</t>
  </si>
  <si>
    <t>0000323384465942</t>
  </si>
  <si>
    <t>21/08/23UPI-SINDU SINGH-SINGHSHINDU62@OKHDFCBANK-UTIB0002456-323384465942-GROCERY000032338446594221/08/23219255.17</t>
  </si>
  <si>
    <t>22/08/23</t>
  </si>
  <si>
    <t>UPI-TANVEER SINGH-LDRUBRA8@OKHDFCBANK-BARB0BLYHAR-323487197200-UPI</t>
  </si>
  <si>
    <t>0000323487197200</t>
  </si>
  <si>
    <t>22/08/23UPI-TANVEER SINGH-LDRUBRA8@OKHDFCBANK-BARB0BLYHAR-323487197200-UPI000032348719720022/08/23275530.17</t>
  </si>
  <si>
    <t>UPI-XXXXXX3195-PYTM0123456-360020221274-NA</t>
  </si>
  <si>
    <t>0000360020221274</t>
  </si>
  <si>
    <t>22/08/23UPI-XXXXXX3195-PYTM0123456-360020221274-NA000036002022127422/08/2318275-17744.83</t>
  </si>
  <si>
    <t>UPI-ISHITA AGRAWAL-8171817799@PAYTM-HDFC0004713-323401264107-GOA TRIP</t>
  </si>
  <si>
    <t>0000323401264107</t>
  </si>
  <si>
    <t>22/08/23UPI-ISHITA AGRAWAL-8171817799@PAYTM-HDFC0004713-323401264107-GOA TRIP000032340126410722/08/233469-21213.83</t>
  </si>
  <si>
    <t>UPI-SHIVA KESHARWANI-PAYTMQR281005050101ITTBWXKVM00G@PAYTM-PYTM0123456-323402244138-OUTSIDE FOOD</t>
  </si>
  <si>
    <t>0000323402244138</t>
  </si>
  <si>
    <t>22/08/23UPI-SHIVA KESHARWANI-PAYTMQR281005050101ITTBWXKVM00G@PAYTM-PYTM0123456-323402244138-OUTSIDE FOOD000032340224413822/08/23205177.17</t>
  </si>
  <si>
    <t>0000323402286670</t>
  </si>
  <si>
    <t>22/08/23UPI-SWASTIKA ANAND-SWASTIKA0110-1@OKHDFCBANK-HDFC0001475-323402286670-OUTSIDE FOOD PROTE000032340228667022/08/231005077.17</t>
  </si>
  <si>
    <t>0000323402309056</t>
  </si>
  <si>
    <t>22/08/23UPI-SWASTIKA ANAND-SWASTIKA0110-1@OKHDFCBANK-HDFC0001475-323402309056-GOA TRIP000032340230905622/08/232954782.17</t>
  </si>
  <si>
    <t>UPI-SHIVA KESHARWANI-PAYTMQR281005050101ITTBWXKVM00G@PAYTM-PYTM0123456-323405653812-OUTSIDE FOOD</t>
  </si>
  <si>
    <t>0000323405653812</t>
  </si>
  <si>
    <t>22/08/23UPI-SHIVA KESHARWANI-PAYTMQR281005050101ITTBWXKVM00G@PAYTM-PYTM0123456-323405653812-OUTSIDE FOOD000032340565381222/08/23104772.17</t>
  </si>
  <si>
    <t>23/08/23</t>
  </si>
  <si>
    <t>UPI-LE MARCHE GOOD EARTH-PAYTMQR2810050501011LKS179WGZFL@PAYTM-PYTM0123456-323517563707-OUTSIDE FOOD</t>
  </si>
  <si>
    <t>0000323517563707</t>
  </si>
  <si>
    <t>23/08/23UPI-LE MARCHE GOOD EARTH-PAYTMQR2810050501011LKS179WGZFL@PAYTM-PYTM0123456-323517563707-OUTSIDE FOOD000032351756370723/08/23154757.17</t>
  </si>
  <si>
    <t>UPI-SHIVA KESHARWANI-PAYTMQR281005050101ITTBWXKVM00G@PAYTM-PYTM0123456-323526705962-OUTSIDE FOOD</t>
  </si>
  <si>
    <t>0000323526705962</t>
  </si>
  <si>
    <t>23/08/23UPI-SHIVA KESHARWANI-PAYTMQR281005050101ITTBWXKVM00G@PAYTM-PYTM0123456-323526705962-OUTSIDE FOOD000032352670596223/08/23104747.17</t>
  </si>
  <si>
    <t>UPI-SHIVA KESHARWANI-PAYTMQR281005050101ITTBWXKVM00G@PAYTM-PYTM0123456-323526711532-OUTSIDE FOOD</t>
  </si>
  <si>
    <t>0000323526711532</t>
  </si>
  <si>
    <t>23/08/23UPI-SHIVA KESHARWANI-PAYTMQR281005050101ITTBWXKVM00G@PAYTM-PYTM0123456-323526711532-OUTSIDE FOOD000032352671153223/08/23104737.17</t>
  </si>
  <si>
    <t>UPI-SHIVA KESHARWANI-PAYTMQR281005050101ITTBWXKVM00G@PAYTM-PYTM0123456-323530912388-OUTSIDE FOOD</t>
  </si>
  <si>
    <t>0000323530912388</t>
  </si>
  <si>
    <t>23/08/23UPI-SHIVA KESHARWANI-PAYTMQR281005050101ITTBWXKVM00G@PAYTM-PYTM0123456-323530912388-OUTSIDE FOOD000032353091238823/08/23704667.17</t>
  </si>
  <si>
    <t>24/08/23</t>
  </si>
  <si>
    <t>UPI-GROCERY STORE-8209997404@OKBIZAXIS-UTIB0000000-323666495022-GROCERY</t>
  </si>
  <si>
    <t>0000323666495022</t>
  </si>
  <si>
    <t>24/08/23UPI-GROCERY STORE-8209997404@OKBIZAXIS-UTIB0000000-323666495022-GROCERY000032366649502224/08/233254342.17</t>
  </si>
  <si>
    <t>UPI-SWIGGY-SWIGGYSTORES@ICICI-ICIC0DC0099-323671322984-GROCERY</t>
  </si>
  <si>
    <t>0000323671322984</t>
  </si>
  <si>
    <t>24/08/23UPI-SWIGGY-SWIGGYSTORES@ICICI-ICIC0DC0099-323671322984-GROCERY000032367132298424/08/238633479.17</t>
  </si>
  <si>
    <t>25/08/23</t>
  </si>
  <si>
    <t>POS 517725XXXXXX8201 KFC SAPPHIRE</t>
  </si>
  <si>
    <t>0000000000013944</t>
  </si>
  <si>
    <t>25/08/23POS 517725XXXXXX8201 KFC SAPPHIRE000000000001394425/08/234243055.17</t>
  </si>
  <si>
    <t>UPI-SPOTIFY INDIA-SPOTIFY.BDSI@ICICI-ICIC0DC0099-323777582964-MANDATEREQUEST</t>
  </si>
  <si>
    <t>0000323777582964</t>
  </si>
  <si>
    <t>25/08/23UPI-SPOTIFY INDIA-SPOTIFY.BDSI@ICICI-ICIC0DC0099-323777582964-MANDATEREQUEST000032377758296425/08/231192936.17</t>
  </si>
  <si>
    <t>UPI-PULKIT  CHUGH-9650779951@PAYTM-SBIN0009083-323745862218-SENT FROM PAYTM</t>
  </si>
  <si>
    <t>0000323745862218</t>
  </si>
  <si>
    <t>25/08/23UPI-PULKIT  CHUGH-9650779951@PAYTM-SBIN0009083-323745862218-SENT FROM PAYTM000032374586221825/08/232303166.17</t>
  </si>
  <si>
    <t>26/08/23</t>
  </si>
  <si>
    <t>UPI-ROHRA A-8770619011@PAYTM-HSBC0110005-323836208278-NA</t>
  </si>
  <si>
    <t>0000323836208278</t>
  </si>
  <si>
    <t>26/08/23UPI-ROHRA A-8770619011@PAYTM-HSBC0110005-323836208278-NA000032383620827826/08/231603326.17</t>
  </si>
  <si>
    <t>UPI-RITISH GROVER-RITISHGROVER5@OKAXIS-ANDB0001596-323829940841-PERSONAL</t>
  </si>
  <si>
    <t>0000323829940841</t>
  </si>
  <si>
    <t>26/08/23UPI-RITISH GROVER-RITISHGROVER5@OKAXIS-ANDB0001596-323829940841-PERSONAL000032382994084126/08/23553271.17</t>
  </si>
  <si>
    <t>27/08/23</t>
  </si>
  <si>
    <t>POS 517725XXXXXX8201 SOCIAL</t>
  </si>
  <si>
    <t>0000000000001510</t>
  </si>
  <si>
    <t>27/08/23POS 517725XXXXXX8201 SOCIAL000000000000151027/08/232613010.17</t>
  </si>
  <si>
    <t>UPI-FANDV AGRO LLP-PAYTMQR281005050101J6DQBXZK3OIL@PAYTM-PYTM0123456-323941277015-OUTSIDE FOOD</t>
  </si>
  <si>
    <t>0000323941277015</t>
  </si>
  <si>
    <t>27/08/23UPI-FANDV AGRO LLP-PAYTMQR281005050101J6DQBXZK3OIL@PAYTM-PYTM0123456-323941277015-OUTSIDE FOOD000032394127701527/08/23522958.17</t>
  </si>
  <si>
    <t>UPI-SAROVAR ISB MOHALI-PAYTMQR2810050501011RAT8WP42YUE@PAYTM-PYTM0123456-323948492866-OUTSIDE FOOD</t>
  </si>
  <si>
    <t>0000323948492866</t>
  </si>
  <si>
    <t>27/08/23UPI-SAROVAR ISB MOHALI-PAYTMQR2810050501011RAT8WP42YUE@PAYTM-PYTM0123456-323948492866-OUTSIDE FOOD000032394849286627/08/231022856.17</t>
  </si>
  <si>
    <t>UPI-874387692924PAYTM-874387692924@PAYTM-SBIN0013182-323971144209-OUTINGS</t>
  </si>
  <si>
    <t>0000323971144209</t>
  </si>
  <si>
    <t>27/08/23UPI-874387692924PAYTM-874387692924@PAYTM-SBIN0013182-323971144209-OUTINGS000032397114420927/08/239021954.17</t>
  </si>
  <si>
    <t>UPI-SWIGGY-SWIGGYUPI@AXISBANK-UTIB0000000-323955583719-SWIGGY ORDER ID 17</t>
  </si>
  <si>
    <t>0000323955583719</t>
  </si>
  <si>
    <t>27/08/23UPI-SWIGGY-SWIGGYUPI@AXISBANK-UTIB0000000-323955583719-SWIGGY ORDER ID 17000032395558371927/08/234521502.17</t>
  </si>
  <si>
    <t>28/08/23</t>
  </si>
  <si>
    <t>UPI-PAYTMUSER-9877715468@PAYTM-PYTM0123456-324059994424-PERSONAL</t>
  </si>
  <si>
    <t>0000324059994424</t>
  </si>
  <si>
    <t>28/08/23UPI-PAYTMUSER-9877715468@PAYTM-PYTM0123456-324059994424-PERSONAL000032405999442428/08/23301472.17</t>
  </si>
  <si>
    <t>UPI-SHIVAM SINGH-SHIVAMSINGH458090-1@OKAXIS-INDB0001412-324062173239-OUTSIDE FOOD</t>
  </si>
  <si>
    <t>0000324062173239</t>
  </si>
  <si>
    <t>28/08/23UPI-SHIVAM SINGH-SHIVAMSINGH458090-1@OKAXIS-INDB0001412-324062173239-OUTSIDE FOOD000032406217323928/08/231001302.17</t>
  </si>
  <si>
    <t>UPI-SURJAN PAL-BHARATPE90726924421@YESBANKLTD-YESB0YESUPI-324066708396-PAY TO BHARATPE ME</t>
  </si>
  <si>
    <t>0000324066708396</t>
  </si>
  <si>
    <t>28/08/23UPI-SURJAN PAL-BHARATPE90726924421@YESBANKLTD-YESB0YESUPI-324066708396-PAY TO BHARATPE ME000032406670839628/08/231201182.17</t>
  </si>
  <si>
    <t>UPI-KUSH KHANNA-KUSH1611KHANNA-1@OKICICI-INDB0000763-324056974555-UPI</t>
  </si>
  <si>
    <t>0000324056974555</t>
  </si>
  <si>
    <t>28/08/23UPI-KUSH KHANNA-KUSH1611KHANNA-1@OKICICI-INDB0000763-324056974555-UPI000032405697455528/08/234701652.17</t>
  </si>
  <si>
    <t>29/08/23</t>
  </si>
  <si>
    <t>UPI-SHIVA KESHARWANI-PAYTMQRU069FPIB03@PAYTM-PYTM0123456-324196080257-OUTSIDE FOOD</t>
  </si>
  <si>
    <t>0000324196080257</t>
  </si>
  <si>
    <t>29/08/23UPI-SHIVA KESHARWANI-PAYTMQRU069FPIB03@PAYTM-PYTM0123456-324196080257-OUTSIDE FOOD000032419608025729/08/23401612.17</t>
  </si>
  <si>
    <t>UPI-SHIVA KESHARWANI-PAYTMQRU069FPIB03@PAYTM-PYTM0123456-324101638210-OUTSIDE FOOD</t>
  </si>
  <si>
    <t>0000324101638210</t>
  </si>
  <si>
    <t>29/08/23UPI-SHIVA KESHARWANI-PAYTMQRU069FPIB03@PAYTM-PYTM0123456-324101638210-OUTSIDE FOOD000032410163821029/08/23751537.17</t>
  </si>
  <si>
    <t>UPI-SHIVA KESHARWANI-PAYTMQRU069FPIB03@PAYTM-PYTM0123456-324112744361-OUTSIDE FOOD</t>
  </si>
  <si>
    <t>0000324112744361</t>
  </si>
  <si>
    <t>29/08/23UPI-SHIVA KESHARWANI-PAYTMQRU069FPIB03@PAYTM-PYTM0123456-324112744361-OUTSIDE FOOD000032411274436129/08/23751462.17</t>
  </si>
  <si>
    <t>UPI-SINDU SINGH-SINGHSHINDU62@OKHDFCBANK-UTIB0002456-324116134254-GROCERY</t>
  </si>
  <si>
    <t>0000324116134254</t>
  </si>
  <si>
    <t>29/08/23UPI-SINDU SINGH-SINGHSHINDU62@OKHDFCBANK-UTIB0002456-324116134254-GROCERY000032411613425429/08/23580882.17</t>
  </si>
  <si>
    <t>UPI-GOOGLEPAY-GOOG-PAYMENT@OKAXIS-UTIB0000553-324159646857-UPI</t>
  </si>
  <si>
    <t>0000324159646857</t>
  </si>
  <si>
    <t>29/08/23UPI-GOOGLEPAY-GOOG-PAYMENT@OKAXIS-UTIB0000553-324159646857-UPI000032415964685729/08/234886.17</t>
  </si>
  <si>
    <t>30/08/23</t>
  </si>
  <si>
    <t>UPI-GROCERY STORE-8209997404@OKBIZAXIS-UTIB0000000-324232996263-GROCERY</t>
  </si>
  <si>
    <t>0000324232996263</t>
  </si>
  <si>
    <t>30/08/23UPI-GROCERY STORE-8209997404@OKBIZAXIS-UTIB0000000-324232996263-GROCERY000032423299626330/08/23235651.17</t>
  </si>
  <si>
    <t>UPI-SWIGGY-SWIGGYUPI@AXISBANK-UTIB0000000-324246389236-SWIGGY ORDER ID 17</t>
  </si>
  <si>
    <t>0000324246389236</t>
  </si>
  <si>
    <t>30/08/23UPI-SWIGGY-SWIGGYUPI@AXISBANK-UTIB0000000-324246389236-SWIGGY ORDER ID 17000032424638923630/08/23174477.17</t>
  </si>
  <si>
    <t>31/08/23</t>
  </si>
  <si>
    <t>0000324352475859</t>
  </si>
  <si>
    <t>31/08/23UPI-SHUBHAM DUA-SHUBHAMDUA45-1@OKICICI-SBIN0001759-324352475859-SHUBHAM000032435247585931/08/232000035346.17</t>
  </si>
  <si>
    <t>UPI-GOOGLEPAY-GOOG-PAYMENT@OKAXIS-UTIB0000553-324313617406-UPI</t>
  </si>
  <si>
    <t>0000324313617406</t>
  </si>
  <si>
    <t>31/08/23UPI-GOOGLEPAY-GOOG-PAYMENT@OKAXIS-UTIB0000553-324313617406-UPI000032431361740631/08/23335349.17</t>
  </si>
  <si>
    <t>UPI-RAKESH YADAV-PAYTMQRD7V9CC5SET@PAYTM-PYTM0123456-324360545133-PERSONAL</t>
  </si>
  <si>
    <t>0000324360545133</t>
  </si>
  <si>
    <t>31/08/23UPI-RAKESH YADAV-PAYTMQRD7V9CC5SET@PAYTM-PYTM0123456-324360545133-PERSONAL000032436054513331/08/238035269.17</t>
  </si>
  <si>
    <t>UPI-SINDU SINGH-SINGHSHINDU62@OKHDFCBANK-UTIB0002456-324376939808-GROCERY</t>
  </si>
  <si>
    <t>0000324376939808</t>
  </si>
  <si>
    <t>31/08/23UPI-SINDU SINGH-SINGHSHINDU62@OKHDFCBANK-UTIB0002456-324376939808-GROCERY000032437693980831/08/2355432715.17</t>
  </si>
  <si>
    <t>01/09/23</t>
  </si>
  <si>
    <t>ACH D- INDIAN CLEARING CORP-P1KM953TJIZP</t>
  </si>
  <si>
    <t>0000005004535264</t>
  </si>
  <si>
    <t>01/09/23ACH D- INDIAN CLEARING CORP-P1KM953TJIZP000000500453526401/09/23240030315.17</t>
  </si>
  <si>
    <t>ACH D- INDIAN CLEARING CORP-G8AUM6W6XRHD</t>
  </si>
  <si>
    <t>0000005004515610</t>
  </si>
  <si>
    <t>01/09/23ACH D- INDIAN CLEARING CORP-G8AUM6W6XRHD000000500451561001/09/23300027315.17</t>
  </si>
  <si>
    <t>ACH D- INDIAN CLEARING CORP-2HJYEKNYHLRK</t>
  </si>
  <si>
    <t>0000005004518012</t>
  </si>
  <si>
    <t>01/09/23ACH D- INDIAN CLEARING CORP-2HJYEKNYHLRK000000500451801201/09/23600021315.17</t>
  </si>
  <si>
    <t>UPI-SWIGGY-SWIGGYUPI@AXISBANK-UTIB0000000-324408425290-SWIGGY ORDER ID 15</t>
  </si>
  <si>
    <t>0000324408425290</t>
  </si>
  <si>
    <t>01/09/23UPI-SWIGGY-SWIGGYUPI@AXISBANK-UTIB0000000-324408425290-SWIGGY ORDER ID 15000032440842529001/09/2361420701.17</t>
  </si>
  <si>
    <t>02/09/23</t>
  </si>
  <si>
    <t>UPI-YUNUS WAHEED KHAN-RIDASHAIKH681@OKHDFCBANK-DCBL0000012-324528188893-GOA TRIP</t>
  </si>
  <si>
    <t>0000324528188893</t>
  </si>
  <si>
    <t>02/09/23UPI-YUNUS WAHEED KHAN-RIDASHAIKH681@OKHDFCBANK-DCBL0000012-324528188893-GOA TRIP000032452818889302/09/2350020201.17</t>
  </si>
  <si>
    <t>UPI-SWIGGY-SWIGGY@YESPAY-YESB0YESUPI-324536770589-PAY FOR MERCHANT</t>
  </si>
  <si>
    <t>0000324536770589</t>
  </si>
  <si>
    <t>02/09/23UPI-SWIGGY-SWIGGY@YESPAY-YESB0YESUPI-324536770589-PAY FOR MERCHANT000032453677058902/09/2336519836.17</t>
  </si>
  <si>
    <t>03/09/23</t>
  </si>
  <si>
    <t>0000324658646904</t>
  </si>
  <si>
    <t>03/09/23UPI-SHUBHAM DUA-SHUBHAMDUA45@OKHDFCBANK-HDFC0000262-324658646904-UPI000032465864690403/09/23300022836.17</t>
  </si>
  <si>
    <t>UPI-24SEVEN C029-PAYTM-52030639@PAYTM-PYTM0123456-324672042649-OUTSIDE FOOD</t>
  </si>
  <si>
    <t>0000324672042649</t>
  </si>
  <si>
    <t>03/09/23UPI-24SEVEN C029-PAYTM-52030639@PAYTM-PYTM0123456-324672042649-OUTSIDE FOOD000032467204264903/09/2335719479.17</t>
  </si>
  <si>
    <t>04/09/23</t>
  </si>
  <si>
    <t>UPI-SINDU  SINGH-SINGHSHINDU62@OKAXIS-UTIB0002456-324772916100-GROCERY</t>
  </si>
  <si>
    <t>0000324772916100</t>
  </si>
  <si>
    <t>04/09/23UPI-SINDU  SINGH-SINGHSHINDU62@OKAXIS-UTIB0002456-324772916100-GROCERY000032477291610004/09/2330319176.17</t>
  </si>
  <si>
    <t>UPI-EKTA SINGH-ES7982767242@PAYTM-PYTM0123456-361308093962-SENT FROM PAYTM</t>
  </si>
  <si>
    <t>0000361308093962</t>
  </si>
  <si>
    <t>04/09/23UPI-EKTA SINGH-ES7982767242@PAYTM-PYTM0123456-361308093962-SENT FROM PAYTM000036130809396204/09/2340019576.17</t>
  </si>
  <si>
    <t>UPI-ROHRA A-8770619011@PAYTM-HSBC0110005-361300677247-NA</t>
  </si>
  <si>
    <t>0000361300677247</t>
  </si>
  <si>
    <t>04/09/23UPI-ROHRA A-8770619011@PAYTM-HSBC0110005-361300677247-NA000036130067724704/09/2315019726.17</t>
  </si>
  <si>
    <t>UPI-AXIS-CRED.CLUB@AXISB-UTIB0000114-361330012991-PAYMENT ON CRED</t>
  </si>
  <si>
    <t>0000361330012991</t>
  </si>
  <si>
    <t>04/09/23UPI-AXIS-CRED.CLUB@AXISB-UTIB0000114-361330012991-PAYMENT ON CRED000036133001299104/09/23157018156.17</t>
  </si>
  <si>
    <t>UPI-AMIT KESHARWANI-Q924660075@YBL-HDFC0000485-324779461251-OUTSIDE FOOD</t>
  </si>
  <si>
    <t>0000324779461251</t>
  </si>
  <si>
    <t>04/09/23UPI-AMIT KESHARWANI-Q924660075@YBL-HDFC0000485-324779461251-OUTSIDE FOOD000032477946125104/09/234018116.17</t>
  </si>
  <si>
    <t>UPI-BALAJI STORE-GPAY-11209231112@OKBIZAXIS-UTIB0000000-324791603268-PERSONAL</t>
  </si>
  <si>
    <t>0000324791603268</t>
  </si>
  <si>
    <t>04/09/23UPI-BALAJI STORE-GPAY-11209231112@OKBIZAXIS-UTIB0000000-324791603268-PERSONAL000032479160326804/09/233518081.17</t>
  </si>
  <si>
    <t>UPI-PURUSHOTTAM PAWAN GU-PGUPTA2611@OKHDFCBANK-HDFC0000592-324793354531-MAIDS</t>
  </si>
  <si>
    <t>0000324793354531</t>
  </si>
  <si>
    <t>04/09/23UPI-PURUSHOTTAM PAWAN GU-PGUPTA2611@OKHDFCBANK-HDFC0000592-324793354531-MAIDS000032479335453104/09/23300021081.17</t>
  </si>
  <si>
    <t>UPI-SWIGGY-SWIGGY@YESPAY-YESB0YESUPI-361350944760-PAY FOR MERCHANT</t>
  </si>
  <si>
    <t>0000361350944760</t>
  </si>
  <si>
    <t>04/09/23UPI-SWIGGY-SWIGGY@YESPAY-YESB0YESUPI-361350944760-PAY FOR MERCHANT000036135094476004/09/2358220499.17</t>
  </si>
  <si>
    <t>UPI-AMIT KESHARWANI-Q924660075@YBL-HDFC0000485-324797340003-OUTSIDE FOOD</t>
  </si>
  <si>
    <t>0000324797340003</t>
  </si>
  <si>
    <t>04/09/23UPI-AMIT KESHARWANI-Q924660075@YBL-HDFC0000485-324797340003-OUTSIDE FOOD000032479734000304/09/238020419.17</t>
  </si>
  <si>
    <t>UPI-SWIGGY-SWIGGYSTORES@ICICI-ICIC0DC0099-324796498915-GROCERY</t>
  </si>
  <si>
    <t>0000324796498915</t>
  </si>
  <si>
    <t>04/09/23UPI-SWIGGY-SWIGGYSTORES@ICICI-ICIC0DC0099-324796498915-GROCERY000032479649891504/09/2328320136.17</t>
  </si>
  <si>
    <t>UPI-DECATHLON SPORTS IND-DECATHLON.RZP@HDFCBANK-HDFC0000499-324701088631-INTENTFLOWFORUPIPA</t>
  </si>
  <si>
    <t>0000324701088631</t>
  </si>
  <si>
    <t>04/09/23UPI-DECATHLON SPORTS IND-DECATHLON.RZP@HDFCBANK-HDFC0000499-324701088631-INTENTFLOWFORUPIPA000032470108863104/09/23185618280.17</t>
  </si>
  <si>
    <t>05/09/23</t>
  </si>
  <si>
    <t>SHILP GRAVU DIV22 2300000000000000000822</t>
  </si>
  <si>
    <t>0000232475154900</t>
  </si>
  <si>
    <t>05/09/23SHILP GRAVU DIV22 2300000000000000000822000023247515490005/09/2331.518311.67</t>
  </si>
  <si>
    <t>UPI-DECATHLON-DECATHLON@YBL-YESB0YBLUPI-324816294713-PAYMENT FOR 701311</t>
  </si>
  <si>
    <t>0000324816294713</t>
  </si>
  <si>
    <t>05/09/23UPI-DECATHLON-DECATHLON@YBL-YESB0YBLUPI-324816294713-PAYMENT FOR 701311000032481629471305/09/2359917712.67</t>
  </si>
  <si>
    <t>UPI-DECATHLON SPORTS IND-DECATHLON.RZP@HDFCBANK-HDFC0000240-324855841857-REFUND FOR DECATHL</t>
  </si>
  <si>
    <t>0000324855841857</t>
  </si>
  <si>
    <t>05/09/23UPI-DECATHLON SPORTS IND-DECATHLON.RZP@HDFCBANK-HDFC0000240-324855841857-REFUND FOR DECATHL000032485584185705/09/2335918071.67</t>
  </si>
  <si>
    <t>UPI-SINDU SINGH-SINGHSHINDU62@OKHDFCBANK-UTIB0002456-324831984655-GROCERY</t>
  </si>
  <si>
    <t>0000324831984655</t>
  </si>
  <si>
    <t>05/09/23UPI-SINDU SINGH-SINGHSHINDU62@OKHDFCBANK-UTIB0002456-324831984655-GROCERY000032483198465505/09/2363517436.67</t>
  </si>
  <si>
    <t>06/09/23</t>
  </si>
  <si>
    <t>0000324933880294</t>
  </si>
  <si>
    <t>06/09/23UPI-SHUBHAM DUA-SHUBHAMDUA45-1@OKICICI-SBIN0001759-324933880294-ELECTRICITY BILL000032493388029406/09/231741611436.67</t>
  </si>
  <si>
    <t>07/09/23</t>
  </si>
  <si>
    <t>UPI-RAJENDRA N KAMBLE-Q490902083@YBL-YESB0YBLUPI-325071348776-PERSONAL</t>
  </si>
  <si>
    <t>0000325071348776</t>
  </si>
  <si>
    <t>07/09/23UPI-RAJENDRA N KAMBLE-Q490902083@YBL-YESB0YBLUPI-325071348776-PERSONAL000032507134877607/09/236011774.35</t>
  </si>
  <si>
    <t>UPI-MUJEEV HUSAIN-PAYTMQR281005050101QS64EHKND57K@PAYTM-PYTM0123456-325071982388-GOA TRIP</t>
  </si>
  <si>
    <t>0000325071982388</t>
  </si>
  <si>
    <t>07/09/23UPI-MUJEEV HUSAIN-PAYTMQR281005050101QS64EHKND57K@PAYTM-PYTM0123456-325071982388-GOA TRIP000032507198238807/09/2315011624.35</t>
  </si>
  <si>
    <t>UPI-MUJEEV HUSAIN-PAYTMQR281005050101QS64EHKND57K@PAYTM-PYTM0123456-325072304529-PERSONAL</t>
  </si>
  <si>
    <t>0000325072304529</t>
  </si>
  <si>
    <t>07/09/23UPI-MUJEEV HUSAIN-PAYTMQR281005050101QS64EHKND57K@PAYTM-PYTM0123456-325072304529-PERSONAL000032507230452907/09/235011574.35</t>
  </si>
  <si>
    <t>UPI-LUISA SILVESTIN LOBO-PAYTMQR14DMPC0BBK@PAYTM-PYTM0123456-325073212294-OUTSIDE FOOD</t>
  </si>
  <si>
    <t>0000325073212294</t>
  </si>
  <si>
    <t>07/09/23UPI-LUISA SILVESTIN LOBO-PAYTMQR14DMPC0BBK@PAYTM-PYTM0123456-325073212294-OUTSIDE FOOD000032507321229407/09/2318011394.35</t>
  </si>
  <si>
    <t>08/09/23</t>
  </si>
  <si>
    <t>UPI-SIMAO FERNANDES-9763687076@YBL-HDFC0003350-325104893780-OUTSIDE FOOD</t>
  </si>
  <si>
    <t>0000325104893780</t>
  </si>
  <si>
    <t>08/09/23UPI-SIMAO FERNANDES-9763687076@YBL-HDFC0003350-325104893780-OUTSIDE FOOD000032510489378008/09/235011344.35</t>
  </si>
  <si>
    <t>UPI-SPICE GOA REST AND B-SPICEGOARESTANDBAR.99743401@HDFCBANK-HDFC0000001-361757595403-UPI</t>
  </si>
  <si>
    <t>0000361757595403</t>
  </si>
  <si>
    <t>08/09/23UPI-SPICE GOA REST AND B-SPICEGOARESTANDBAR.99743401@HDFCBANK-HDFC0000001-361757595403-UPI000036175759540308/09/2322299115.35</t>
  </si>
  <si>
    <t>UPI-BIG FAT SANDWICH AND-PAYTM-68322185@PAYTM-PYTM0123456-325125403609-OUTSIDE FOOD</t>
  </si>
  <si>
    <t>0000325125403609</t>
  </si>
  <si>
    <t>09/09/23</t>
  </si>
  <si>
    <t>08/09/23UPI-BIG FAT SANDWICH AND-PAYTM-68322185@PAYTM-PYTM0123456-325125403609-OUTSIDE FOOD000032512540360909/09/232848831.35</t>
  </si>
  <si>
    <t>UPI-KRISHNA SPICE SHOP-GPAY-11198226851@OKBIZAXIS-UTIB0000000-325251300780-GIFTING</t>
  </si>
  <si>
    <t>0000325251300780</t>
  </si>
  <si>
    <t>09/09/23UPI-KRISHNA SPICE SHOP-GPAY-11198226851@OKBIZAXIS-UTIB0000000-325251300780-GIFTING000032525130078009/09/235508281.35</t>
  </si>
  <si>
    <t>10/09/23</t>
  </si>
  <si>
    <t>0000000000510032</t>
  </si>
  <si>
    <t>10/09/23ME DC SI 517725XXXXXX8201 YOUTUBE000000000051003210/09/231898092.35</t>
  </si>
  <si>
    <t>11/09/23</t>
  </si>
  <si>
    <t>UPI-MAHESHSUNNYENTERPRIS-Q837876946@YBL-YESB0YBLUPI-325477521498-UPI</t>
  </si>
  <si>
    <t>0000325477521498</t>
  </si>
  <si>
    <t>11/09/23UPI-MAHESHSUNNYENTERPRIS-Q837876946@YBL-YESB0YBLUPI-325477521498-UPI000032547752149811/09/23508042.35</t>
  </si>
  <si>
    <t>0000325484517609</t>
  </si>
  <si>
    <t>11/09/23UPI-SWASTIKA ANAND-SWASTIKA0110-1@OKHDFCBANK-HDFC0001475-325484517609-UPI000032548451760911/09/232638305.35</t>
  </si>
  <si>
    <t>UPI-SINDU  SINGH-SINGHSHINDU62@OKAXIS-UTIB0002456-325405118057-GROCERY</t>
  </si>
  <si>
    <t>0000325405118057</t>
  </si>
  <si>
    <t>11/09/23UPI-SINDU  SINGH-SINGHSHINDU62@OKAXIS-UTIB0002456-325405118057-GROCERY000032540511805711/09/233837922.35</t>
  </si>
  <si>
    <t>12/09/23</t>
  </si>
  <si>
    <t>0000362173657008</t>
  </si>
  <si>
    <t>12/09/23UPI-SHUBHAM DUA-SHUBHAMDUA45-1@OKICICI-SBIN0001759-362173657008-UPI000036217365700812/09/233095038872.35</t>
  </si>
  <si>
    <t>UPI-PURUSHOTTAM PAWAN GU-PGUPTA2611@OKHDFCBANK-HDFC0000592-325518782150-RENT</t>
  </si>
  <si>
    <t>0000325518782150</t>
  </si>
  <si>
    <t>12/09/23UPI-PURUSHOTTAM PAWAN GU-PGUPTA2611@OKHDFCBANK-HDFC0000592-325518782150-RENT000032551878215012/09/231250051372.35</t>
  </si>
  <si>
    <t>UPI-DEVI DUTT JOSHI-9899301788@AXL-UTIB0003942-325518824613-SEPTEMBER RENT</t>
  </si>
  <si>
    <t>0000325518824613</t>
  </si>
  <si>
    <t>12/09/23UPI-DEVI DUTT JOSHI-9899301788@AXL-UTIB0003942-325518824613-SEPTEMBER RENT000032551882461312/09/234000011372.35</t>
  </si>
  <si>
    <t>13/09/23</t>
  </si>
  <si>
    <t>UPI-SINDU SINGH-SINGHSHINDU62@OKHDFCBANK-UTIB0002456-325642595461-GROCERY KW 45 3RD</t>
  </si>
  <si>
    <t>0000325642595461</t>
  </si>
  <si>
    <t>13/09/23UPI-SINDU SINGH-SINGHSHINDU62@OKHDFCBANK-UTIB0002456-325642595461-GROCERY KW 45 3RD000032564259546113/09/239811274.35</t>
  </si>
  <si>
    <t>UPI-MEER SINGH FUEL POIN-PAYTMQR2810050501011N0K9XKBN1NR@PAYTM-PYTM0123456-325645775181-PETROL FUEL</t>
  </si>
  <si>
    <t>0000325645775181</t>
  </si>
  <si>
    <t>13/09/23UPI-MEER SINGH FUEL POIN-PAYTMQR2810050501011N0K9XKBN1NR@PAYTM-PYTM0123456-325645775181-PETROL FUEL000032564577518113/09/23100010274.35</t>
  </si>
  <si>
    <t>UPI-SHIVA KESHARWANI-PAYTMQRU069FPIB03@PAYTM-PYTM0123456-325648344687-OUTSIDE FOOD</t>
  </si>
  <si>
    <t>0000325648344687</t>
  </si>
  <si>
    <t>13/09/23UPI-SHIVA KESHARWANI-PAYTMQRU069FPIB03@PAYTM-PYTM0123456-325648344687-OUTSIDE FOOD000032564834468713/09/237510199.35</t>
  </si>
  <si>
    <t>UPI-SHIVA KESHARWANI-PAYTMQRU069FPIB03@PAYTM-PYTM0123456-325652087105-OUTSIDE FOOD</t>
  </si>
  <si>
    <t>0000325652087105</t>
  </si>
  <si>
    <t>13/09/23UPI-SHIVA KESHARWANI-PAYTMQRU069FPIB03@PAYTM-PYTM0123456-325652087105-OUTSIDE FOOD000032565208710513/09/237510124.35</t>
  </si>
  <si>
    <t>UPI-SHIVA KESHARWANI-PAYTMQRU069FPIB03@PAYTM-PYTM0123456-325655238958-OUTSIDE FOOD</t>
  </si>
  <si>
    <t>0000325655238958</t>
  </si>
  <si>
    <t>13/09/23UPI-SHIVA KESHARWANI-PAYTMQRU069FPIB03@PAYTM-PYTM0123456-325655238958-OUTSIDE FOOD000032565523895813/09/231510109.35</t>
  </si>
  <si>
    <t>UPI-GOVINDKUMAR SINGH-PAYTMQR9S9UY1036V@PAYTM-PYTM0123456-325658686714-OUTSIDE FOOD</t>
  </si>
  <si>
    <t>0000325658686714</t>
  </si>
  <si>
    <t>13/09/23UPI-GOVINDKUMAR SINGH-PAYTMQR9S9UY1036V@PAYTM-PYTM0123456-325658686714-OUTSIDE FOOD000032565868671413/09/237010039.35</t>
  </si>
  <si>
    <t>UPI-DEVI DUTT JOSHI-9899301788@AXL-UTIB0003942-325662066347-GAS PAYMENT</t>
  </si>
  <si>
    <t>0000325662066347</t>
  </si>
  <si>
    <t>13/09/23UPI-DEVI DUTT JOSHI-9899301788@AXL-UTIB0003942-325662066347-GAS PAYMENT000032566206634713/09/2311128927.35</t>
  </si>
  <si>
    <t>0000325660825444</t>
  </si>
  <si>
    <t>13/09/23UPI-SWASTIKA ANAND-SWASTIKA0110@OKICICI-HDFC0001475-325660825444-UPI000032566082544413/09/231209047.35</t>
  </si>
  <si>
    <t>UPI-SHIVA KESHARWANI-PAYTMQRU069FPIB03@PAYTM-PYTM0123456-325663106992-OUTSIDE FOOD</t>
  </si>
  <si>
    <t>0000325663106992</t>
  </si>
  <si>
    <t>13/09/23UPI-SHIVA KESHARWANI-PAYTMQRU069FPIB03@PAYTM-PYTM0123456-325663106992-OUTSIDE FOOD000032566310699213/09/23808967.35</t>
  </si>
  <si>
    <t>14/09/23</t>
  </si>
  <si>
    <t>UPI-NEW HEALTHCARE PHARM-HEALTHCAREARCADIA-1@OKICICI-UTIB0003292-325795380328-EXTERNAL</t>
  </si>
  <si>
    <t>0000325795380328</t>
  </si>
  <si>
    <t>14/09/23UPI-NEW HEALTHCARE PHARM-HEALTHCAREARCADIA-1@OKICICI-UTIB0003292-325795380328-EXTERNAL000032579538032814/09/2329426025.35</t>
  </si>
  <si>
    <t>UPI-SWIGGYGENIE-SWIGGYGENIE@YESPAY-YESB0YESUPI-325797423633-PAY FOR MERCHANT</t>
  </si>
  <si>
    <t>0000325797423633</t>
  </si>
  <si>
    <t>14/09/23UPI-SWIGGYGENIE-SWIGGYGENIE@YESPAY-YESB0YESUPI-325797423633-PAY FOR MERCHANT000032579742363314/09/231495876.35</t>
  </si>
  <si>
    <t>UPI-ADD MONEY TO WALLET-ADD-MONEY@PAYTM-PYTM0123456-362362496705-OID21949356002@PAY</t>
  </si>
  <si>
    <t>0000362362496705</t>
  </si>
  <si>
    <t>14/09/23UPI-ADD MONEY TO WALLET-ADD-MONEY@PAYTM-PYTM0123456-362362496705-OID21949356002@PAY000036236249670514/09/235005376.35</t>
  </si>
  <si>
    <t>16/09/23</t>
  </si>
  <si>
    <t>POS 517725XXXXXX8201 K549  KFC HUDA M</t>
  </si>
  <si>
    <t>0000000000005666</t>
  </si>
  <si>
    <t>16/09/23POS 517725XXXXXX8201 K549  KFC HUDA M000000000000566616/09/232096167.35</t>
  </si>
  <si>
    <t>POS 517725XXXXXX8201 HENNES N MAURITZ</t>
  </si>
  <si>
    <t>0000000000052042</t>
  </si>
  <si>
    <t>16/09/23POS 517725XXXXXX8201 HENNES N MAURITZ000000000005204216/09/231349.14818.25</t>
  </si>
  <si>
    <t>UPI-SWIGGY-SWIGGY.STORES@AXISBANK-UTIB0000100-325945811071-SWIGGY ORDER ID 15</t>
  </si>
  <si>
    <t>0000325945811071</t>
  </si>
  <si>
    <t>16/09/23UPI-SWIGGY-SWIGGY.STORES@AXISBANK-UTIB0000100-325945811071-SWIGGY ORDER ID 15000032594581107116/09/232654553.25</t>
  </si>
  <si>
    <t>UPI-LAZEEZ FOOD-PAYTMQR1UO2Z215NG@PAYTM-PYTM0123456-325950871242-OUTSIDE FOOD</t>
  </si>
  <si>
    <t>0000325950871242</t>
  </si>
  <si>
    <t>16/09/23UPI-LAZEEZ FOOD-PAYTMQR1UO2Z215NG@PAYTM-PYTM0123456-325950871242-OUTSIDE FOOD000032595087124216/09/232804273.25</t>
  </si>
  <si>
    <t>UPI-THE CHAAT WALK-PAYTMQR28100505010111ZEIWUVSBTY@PAYTM-PYTM0123456-325951496214-OUTSIDE FOOD</t>
  </si>
  <si>
    <t>0000325951496214</t>
  </si>
  <si>
    <t>16/09/23UPI-THE CHAAT WALK-PAYTMQR28100505010111ZEIWUVSBTY@PAYTM-PYTM0123456-325951496214-OUTSIDE FOOD000032595149621416/09/231504123.25</t>
  </si>
  <si>
    <t>UPI-SINDU SINGH-PAYTMQR281005050101F9ZWFAZ9QGWP@PAYTM-PYTM0123456-325954194548-GROCERY</t>
  </si>
  <si>
    <t>0000325954194548</t>
  </si>
  <si>
    <t>16/09/23UPI-SINDU SINGH-PAYTMQR281005050101F9ZWFAZ9QGWP@PAYTM-PYTM0123456-325954194548-GROCERY000032595419454816/09/235743549.25</t>
  </si>
  <si>
    <t>UPI-SWIGGY-SWIGGYSTORES@ICICI-ICIC0DC0099-362511542383-OUTSIDE FOOD</t>
  </si>
  <si>
    <t>0000362511542383</t>
  </si>
  <si>
    <t>16/09/23UPI-SWIGGY-SWIGGYSTORES@ICICI-ICIC0DC0099-362511542383-OUTSIDE FOOD000036251154238316/09/237432806.25</t>
  </si>
  <si>
    <t>17/09/23</t>
  </si>
  <si>
    <t>UPI-SWIGGY-SWIGGYSTORES@ICICI-ICIC0DC0099-326079606239-GROCERY</t>
  </si>
  <si>
    <t>0000326079606239</t>
  </si>
  <si>
    <t>17/09/23UPI-SWIGGY-SWIGGYSTORES@ICICI-ICIC0DC0099-326079606239-GROCERY000032607960623917/09/233032503.25</t>
  </si>
  <si>
    <t>UPI-RACKONNECT PINNACLE -9999387356@SBI-SBIN0041077-326093263049-SPORTS PERSONAL</t>
  </si>
  <si>
    <t>0000326093263049</t>
  </si>
  <si>
    <t>17/09/23UPI-RACKONNECT PINNACLE -9999387356@SBI-SBIN0041077-326093263049-SPORTS PERSONAL000032609326304917/09/232002303.25</t>
  </si>
  <si>
    <t>UPI-SINDU SINGH-SINGHSHINDU62@OKHDFCBANK-UTIB0002456-326095152087-GROCERY</t>
  </si>
  <si>
    <t>0000326095152087</t>
  </si>
  <si>
    <t>17/09/23UPI-SINDU SINGH-SINGHSHINDU62@OKHDFCBANK-UTIB0002456-326095152087-GROCERY000032609515208717/09/232552048.25</t>
  </si>
  <si>
    <t>18/09/23</t>
  </si>
  <si>
    <t>UPI-SWIGGY-SWIGGYUPI@AXISBANK-UTIB0000000-326120300856-SWIGGY ORDER ID 15</t>
  </si>
  <si>
    <t>0000326120300856</t>
  </si>
  <si>
    <t>18/09/23UPI-SWIGGY-SWIGGYUPI@AXISBANK-UTIB0000000-326120300856-SWIGGY ORDER ID 15000032612030085618/09/233221726.25</t>
  </si>
  <si>
    <t>UPI-SINDU SINGH-SINGHSHINDU62@OKHDFCBANK-UTIB0002456-326126355157-GROCERY KW 45 3RD</t>
  </si>
  <si>
    <t>0000326126355157</t>
  </si>
  <si>
    <t>19/09/23</t>
  </si>
  <si>
    <t>18/09/23UPI-SINDU SINGH-SINGHSHINDU62@OKHDFCBANK-UTIB0002456-326126355157-GROCERY KW 45 3RD000032612635515719/09/231061620.25</t>
  </si>
  <si>
    <t>POS 517725XXXXXX8201 GOOGLEPLAY</t>
  </si>
  <si>
    <t>0000000000022039</t>
  </si>
  <si>
    <t>19/09/23POS 517725XXXXXX8201 GOOGLEPLAY000000000002203919/09/232101410.25</t>
  </si>
  <si>
    <t>UPI-GROCERY STORE-8209997404@OKBIZAXIS-UTIB0000000-326242804624-GROCERY</t>
  </si>
  <si>
    <t>0000326242804624</t>
  </si>
  <si>
    <t>19/09/23UPI-GROCERY STORE-8209997404@OKBIZAXIS-UTIB0000000-326242804624-GROCERY000032624280462419/09/231891221.25</t>
  </si>
  <si>
    <t>UPI-GROCERY STORE-8209997404@OKBIZAXIS-UTIB0000000-326247818504-GROCERY</t>
  </si>
  <si>
    <t>0000326247818504</t>
  </si>
  <si>
    <t>19/09/23UPI-GROCERY STORE-8209997404@OKBIZAXIS-UTIB0000000-326247818504-GROCERY000032624781850419/09/23651156.25</t>
  </si>
  <si>
    <t>UPI-GROCERY STORE-8209997404@OKBIZAXIS-UTIB0000000-326247860387-GROCERY</t>
  </si>
  <si>
    <t>0000326247860387</t>
  </si>
  <si>
    <t>19/09/23UPI-GROCERY STORE-8209997404@OKBIZAXIS-UTIB0000000-326247860387-GROCERY000032624786038719/09/23168988.25</t>
  </si>
  <si>
    <t>20/09/23</t>
  </si>
  <si>
    <t>UPI-SHIVA KESHARWANI-PAYTMQRU069FPIB03@PAYTM-PYTM0123456-326369787416-OUTSIDE FOOD</t>
  </si>
  <si>
    <t>0000326369787416</t>
  </si>
  <si>
    <t>20/09/23UPI-SHIVA KESHARWANI-PAYTMQRU069FPIB03@PAYTM-PYTM0123456-326369787416-OUTSIDE FOOD000032636978741620/09/23245743.25</t>
  </si>
  <si>
    <t>UPI-GUDDU KUMAR SINGH-PAYTMQR2810050501011OEJU8QEZYAK@PAYTM-PYTM0123456-326372037985-OUTSIDE FOOD</t>
  </si>
  <si>
    <t>0000326372037985</t>
  </si>
  <si>
    <t>20/09/23UPI-GUDDU KUMAR SINGH-PAYTMQR2810050501011OEJU8QEZYAK@PAYTM-PYTM0123456-326372037985-OUTSIDE FOOD000032637203798520/09/2370673.25</t>
  </si>
  <si>
    <t>0000326348426780</t>
  </si>
  <si>
    <t>20/09/23UPI-ARUSHI TANGRI-9717766100@PAYTM-HDFC0000247-326348426780-SENT FROM PAYTM000032634842678020/09/2329003573.25</t>
  </si>
  <si>
    <t>0000326383700723</t>
  </si>
  <si>
    <t>20/09/23UPI-ARUSHI TANGRI-9717766100@PAYTM-HDFC0000247-326383700723-UPI000032638370072320/09/232900673.25</t>
  </si>
  <si>
    <t>21/09/23</t>
  </si>
  <si>
    <t>.DC INTL POS TXN MARKUP+ST 200823 220823-MIR2426116437661</t>
  </si>
  <si>
    <t>MIR2426116437661</t>
  </si>
  <si>
    <t>21/09/23.DC INTL POS TXN MARKUP+ST 200823 220823-MIR2426116437661MIR242611643766121/09/2345.84995.11</t>
  </si>
  <si>
    <t>UPI-GUDDU KUMAR SINGH-PAYTMQR2810050501011OEJU8QEZYAK@PAYTM-PYTM0123456-326402065993-OUTSIDE FOOD</t>
  </si>
  <si>
    <t>0000326402065993</t>
  </si>
  <si>
    <t>21/09/23UPI-GUDDU KUMAR SINGH-PAYTMQR2810050501011OEJU8QEZYAK@PAYTM-PYTM0123456-326402065993-OUTSIDE FOOD000032640206599321/09/23210785.11</t>
  </si>
  <si>
    <t>UPI-EKTA SINGH-ES7982767242@PAYTM-PYTM0123456-326427166527-SENT FROM PAYTM</t>
  </si>
  <si>
    <t>0000326427166527</t>
  </si>
  <si>
    <t>21/09/23UPI-EKTA SINGH-ES7982767242@PAYTM-PYTM0123456-326427166527-SENT FROM PAYTM000032642716652721/09/2370855.11</t>
  </si>
  <si>
    <t>0000326407288707</t>
  </si>
  <si>
    <t>21/09/23UPI-SWASTIKA ANAND-SWASTIKA0110-1@OKHDFCBANK-HDFC0001475-326407288707-UPI000032640728870721/09/23100955.11</t>
  </si>
  <si>
    <t>UPI-SHIVA KESHARWANI-PAYTMQRU069FPIB03@PAYTM-PYTM0123456-326407301571-OUTSIDE FOOD</t>
  </si>
  <si>
    <t>0000326407301571</t>
  </si>
  <si>
    <t>21/09/23UPI-SHIVA KESHARWANI-PAYTMQRU069FPIB03@PAYTM-PYTM0123456-326407301571-OUTSIDE FOOD000032640730157121/09/2395860.11</t>
  </si>
  <si>
    <t>0000326493139291</t>
  </si>
  <si>
    <t>21/09/23UPI-SHUBHAM DUA-SHUBHAMDUA45-1@OKICICI-SBIN0001759-326493139291-UPI000032649313929121/09/231100011860.11</t>
  </si>
  <si>
    <t>UPI-SINDU SINGH-SINGHSHINDU62@OKHDFCBANK-UTIB0002456-326415647721-GROCERY</t>
  </si>
  <si>
    <t>0000326415647721</t>
  </si>
  <si>
    <t>21/09/23UPI-SINDU SINGH-SINGHSHINDU62@OKHDFCBANK-UTIB0002456-326415647721-GROCERY000032641564772121/09/2323211628.11</t>
  </si>
  <si>
    <t>22/09/23</t>
  </si>
  <si>
    <t>UPI-LE MARCHE GOOD EARTH-PAYTMQR2810050501011LKS179WGZFL@PAYTM-PYTM0123456-326521585604-OUTSIDE FOOD</t>
  </si>
  <si>
    <t>0000326521585604</t>
  </si>
  <si>
    <t>22/09/23UPI-LE MARCHE GOOD EARTH-PAYTMQR2810050501011LKS179WGZFL@PAYTM-PYTM0123456-326521585604-OUTSIDE FOOD000032652158560422/09/231611612.11</t>
  </si>
  <si>
    <t>UPI-SHIVA KESHARWANI-PAYTMQRKIX7YD8P5L@PAYTM-PYTM0123456-326530659544-OUTSIDE FOOD</t>
  </si>
  <si>
    <t>0000326530659544</t>
  </si>
  <si>
    <t>22/09/23UPI-SHIVA KESHARWANI-PAYTMQRKIX7YD8P5L@PAYTM-PYTM0123456-326530659544-OUTSIDE FOOD000032653065954422/09/237511537.11</t>
  </si>
  <si>
    <t>UPI-SHIVA KESHARWANI-PAYTMQRU069FPIB03@PAYTM-PYTM0123456-326534934467-OUTSIDE FOOD</t>
  </si>
  <si>
    <t>0000326534934467</t>
  </si>
  <si>
    <t>22/09/23UPI-SHIVA KESHARWANI-PAYTMQRU069FPIB03@PAYTM-PYTM0123456-326534934467-OUTSIDE FOOD000032653493446722/09/234011497.11</t>
  </si>
  <si>
    <t>23/09/23</t>
  </si>
  <si>
    <t>UPI-ADD MONEY TO WALLET-ADD-MONEY@PAYTM-PYTM0123456-326652486223-OID22030196267@PAY</t>
  </si>
  <si>
    <t>0000326652486223</t>
  </si>
  <si>
    <t>23/09/23UPI-ADD MONEY TO WALLET-ADD-MONEY@PAYTM-PYTM0123456-326652486223-OID22030196267@PAY000032665248622323/09/233007497.11</t>
  </si>
  <si>
    <t>POS 517725XXXXXX8201 BUSAN KOREAN RES</t>
  </si>
  <si>
    <t>0000000000025757</t>
  </si>
  <si>
    <t>23/09/23POS 517725XXXXXX8201 BUSAN KOREAN RES000000000002575723/09/239356562.11</t>
  </si>
  <si>
    <t>UPI-SOPA GYATSO LAMA-SOPAGYATSOLAMA.39369651@HDFCBANK-HDFC0000001-326665423518-OUTSIDE FOOD</t>
  </si>
  <si>
    <t>0000326665423518</t>
  </si>
  <si>
    <t>23/09/23UPI-SOPA GYATSO LAMA-SOPAGYATSOLAMA.39369651@HDFCBANK-HDFC0000001-326665423518-OUTSIDE FOOD000032666542351823/09/239405622.11</t>
  </si>
  <si>
    <t>UPI-PAYTMUSER-8851780928@PAYTM-BKID0006081-326673104033-UPI</t>
  </si>
  <si>
    <t>0000326673104033</t>
  </si>
  <si>
    <t>23/09/23UPI-PAYTMUSER-8851780928@PAYTM-BKID0006081-326673104033-UPI000032667310403323/09/2325003122.11</t>
  </si>
  <si>
    <t>POS 517725XXXXXX8201 KHANSAMA EXPRESS</t>
  </si>
  <si>
    <t>0000000000017682</t>
  </si>
  <si>
    <t>23/09/23POS 517725XXXXXX8201 KHANSAMA EXPRESS000000000001768223/09/2314041718.11</t>
  </si>
  <si>
    <t>24/09/23</t>
  </si>
  <si>
    <t>UPI-SINDU SINGH-SINGHSHINDU62@OKHDFCBANK-UTIB0002456-326709970644-GROCERY</t>
  </si>
  <si>
    <t>0000326709970644</t>
  </si>
  <si>
    <t>24/09/23UPI-SINDU SINGH-SINGHSHINDU62@OKHDFCBANK-UTIB0002456-326709970644-GROCERY000032670997064424/09/235951123.11</t>
  </si>
  <si>
    <t>0000326710375394</t>
  </si>
  <si>
    <t>24/09/23UPI-SWASTIKA ANAND-SWASTIKA0110-1@OKHDFCBANK-HDFC0001475-326710375394-UPI000032671037539424/09/2316702793.11</t>
  </si>
  <si>
    <t>25/09/23</t>
  </si>
  <si>
    <t>UPI-LE MARCHE GOOD EARTH-PAYTMQR2810050501011LKS179WGZFL@PAYTM-PYTM0123456-326815706673-PERSONAL</t>
  </si>
  <si>
    <t>0000326815706673</t>
  </si>
  <si>
    <t>25/09/23UPI-LE MARCHE GOOD EARTH-PAYTMQR2810050501011LKS179WGZFL@PAYTM-PYTM0123456-326815706673-PERSONAL000032681570667325/09/23162777.11</t>
  </si>
  <si>
    <t>UPI-BIG MIRCHI OVERSEAS-VYAPAR.168668470613@HDFCBANK-HDFC0000001-326821495106-GROCERY</t>
  </si>
  <si>
    <t>0000326821495106</t>
  </si>
  <si>
    <t>25/09/23UPI-BIG MIRCHI OVERSEAS-VYAPAR.168668470613@HDFCBANK-HDFC0000001-326821495106-GROCERY000032682149510625/09/23302747.11</t>
  </si>
  <si>
    <t>UPI-ASTU  ROHRA-8770619011@PAYTM-SBIN0016450-326830674445-NA</t>
  </si>
  <si>
    <t>0000326830674445</t>
  </si>
  <si>
    <t>25/09/23UPI-ASTU  ROHRA-8770619011@PAYTM-SBIN0016450-326830674445-NA000032683067444525/09/2314824229.11</t>
  </si>
  <si>
    <t>26/09/23</t>
  </si>
  <si>
    <t>UPI-LE MARCHE GOOD EARTH-PAYTMQR2810050501011LKS179WGZFL@PAYTM-PYTM0123456-326947481269-GROCERY</t>
  </si>
  <si>
    <t>0000326947481269</t>
  </si>
  <si>
    <t>26/09/23UPI-LE MARCHE GOOD EARTH-PAYTMQR2810050501011LKS179WGZFL@PAYTM-PYTM0123456-326947481269-GROCERY000032694748126926/09/23144215.11</t>
  </si>
  <si>
    <t>UPI-ARNAV KATARIA-ARNAVKATARIA23-1@OKHDFCBANK-HDFC0003994-326947895729-MKT</t>
  </si>
  <si>
    <t>0000326947895729</t>
  </si>
  <si>
    <t>26/09/23UPI-ARNAV KATARIA-ARNAVKATARIA23-1@OKHDFCBANK-HDFC0003994-326947895729-MKT000032694789572926/09/234424657.11</t>
  </si>
  <si>
    <t>UPI-BALAJI STORE-GPAY-11209231112@OKBIZAXIS-UTIB0000000-326950787255-GROCERY</t>
  </si>
  <si>
    <t>0000326950787255</t>
  </si>
  <si>
    <t>26/09/23UPI-BALAJI STORE-GPAY-11209231112@OKBIZAXIS-UTIB0000000-326950787255-GROCERY000032695078725526/09/23334624.11</t>
  </si>
  <si>
    <t>27/09/23</t>
  </si>
  <si>
    <t>UPI-SWIGGY-SWIGGYSTORES@ICICI-ICIC0DC0099-327082350878-GROCERY</t>
  </si>
  <si>
    <t>0000327082350878</t>
  </si>
  <si>
    <t>27/09/23UPI-SWIGGY-SWIGGYSTORES@ICICI-ICIC0DC0099-327082350878-GROCERY000032708235087827/09/232694355.11</t>
  </si>
  <si>
    <t>28/09/23</t>
  </si>
  <si>
    <t>UPI-HDFC FASTAG RECHARGE-PTMFVT@PAYTM-PYTM0123456-363758659215-OID22044599955@ONE</t>
  </si>
  <si>
    <t>0000363758659215</t>
  </si>
  <si>
    <t>28/09/23UPI-HDFC FASTAG RECHARGE-PTMFVT@PAYTM-PYTM0123456-363758659215-OID22044599955@ONE000036375865921528/09/2310003355.11</t>
  </si>
  <si>
    <t>UPI-LE MARCHE GOOD EARTH-PAYTMQR2810050501011LKS179WGZFL@PAYTM-PYTM0123456-327119344265-PERSONAL</t>
  </si>
  <si>
    <t>0000327119344265</t>
  </si>
  <si>
    <t>28/09/23UPI-LE MARCHE GOOD EARTH-PAYTMQR2810050501011LKS179WGZFL@PAYTM-PYTM0123456-327119344265-PERSONAL000032711934426528/09/23163339.11</t>
  </si>
  <si>
    <t>UPI-LE MARCHE GOOD EARTH-PAYTMQR2810050501011LKS179WGZFL@PAYTM-PYTM0123456-327123493102-PERSONAL</t>
  </si>
  <si>
    <t>0000327123493102</t>
  </si>
  <si>
    <t>28/09/23UPI-LE MARCHE GOOD EARTH-PAYTMQR2810050501011LKS179WGZFL@PAYTM-PYTM0123456-327123493102-PERSONAL000032712349310228/09/231753164.11</t>
  </si>
  <si>
    <t>POS 517725XXXXXX8201 SHAHEED MANOHAR</t>
  </si>
  <si>
    <t>0000000000615243</t>
  </si>
  <si>
    <t>28/09/23POS 517725XXXXXX8201 SHAHEED MANOHAR000000000061524328/09/235002664.11</t>
  </si>
  <si>
    <t>29/09/23</t>
  </si>
  <si>
    <t>UPI-MOHD IRFAN-PAYTMQRD4GIEIHJC5@PAYTM-PYTM0123456-327245458958-PERSONAL</t>
  </si>
  <si>
    <t>0000327245458958</t>
  </si>
  <si>
    <t>29/09/23UPI-MOHD IRFAN-PAYTMQRD4GIEIHJC5@PAYTM-PYTM0123456-327245458958-PERSONAL000032724545895829/09/237057463.11</t>
  </si>
  <si>
    <t>UPI-BALBIR SINGH GANDHI-DRBSGANDHI@PAYTM-HDFC0000503-327246438466-PERSONAL</t>
  </si>
  <si>
    <t>0000327246438466</t>
  </si>
  <si>
    <t>29/09/23UPI-BALBIR SINGH GANDHI-DRBSGANDHI@PAYTM-HDFC0000503-327246438466-PERSONAL000032724643846629/09/23150055963.11</t>
  </si>
  <si>
    <t>UPI-SUKHMANI MEDICOS-SUKHMANIMEDICOS.42238553@HDFCBANK-HDFC0000001-327246497664-PERSONAL</t>
  </si>
  <si>
    <t>0000327246497664</t>
  </si>
  <si>
    <t>29/09/23UPI-SUKHMANI MEDICOS-SUKHMANIMEDICOS.42238553@HDFCBANK-HDFC0000001-327246497664-PERSONAL000032724649766429/09/2322555738.11</t>
  </si>
  <si>
    <t>ACH C- DEEPIND FINDIV 22 23-6301</t>
  </si>
  <si>
    <t>0000005923696677</t>
  </si>
  <si>
    <t>29/09/23ACH C- DEEPIND FINDIV 22 23-6301000000592369667729/09/2320.3555758.46</t>
  </si>
  <si>
    <t>30/09/23</t>
  </si>
  <si>
    <t>UPI-KAPIL DUA-PAYTMQR2810050501011QB8HJY6GJZS@PAYTM-PYTM0123456-327395698769-UPI</t>
  </si>
  <si>
    <t>0000327395698769</t>
  </si>
  <si>
    <t>30/09/23UPI-KAPIL DUA-PAYTMQR2810050501011QB8HJY6GJZS@PAYTM-PYTM0123456-327395698769-UPI000032739569876930/09/2343355325.46</t>
  </si>
  <si>
    <t>UPI-DHARMENDRA GIRI-PAYTMQR67TGF31ZF9@PAYTM-PYTM0123456-363934803554-PERSONAL</t>
  </si>
  <si>
    <t>0000363934803554</t>
  </si>
  <si>
    <t>30/09/23UPI-DHARMENDRA GIRI-PAYTMQR67TGF31ZF9@PAYTM-PYTM0123456-363934803554-PERSONAL000036393480355430/09/235855267.46</t>
  </si>
  <si>
    <t>01/10/23</t>
  </si>
  <si>
    <t>CREDIT INTEREST CAPITALISED</t>
  </si>
  <si>
    <t>01/10/23CREDIT INTEREST CAPITALISED00000000000000030/09/238755354.46</t>
  </si>
  <si>
    <t>Purchases/Personal/Outings</t>
  </si>
  <si>
    <t>Acc</t>
  </si>
  <si>
    <t>ACC2</t>
  </si>
  <si>
    <t>Acc3</t>
  </si>
  <si>
    <t>Acc4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</si>
</sst>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 * #,##0_ ;_ * \-#,##0_ ;_ * &quot;-&quot;??_ ;_ @_ "/>
    <numFmt numFmtId="165" formatCode="[$-F800]dddd\,\ mmmm\ dd\,\ yyyy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left" indent="1"/>
    </xf>
    <xf numFmtId="0" fontId="2" fillId="2" borderId="0" xfId="0" applyFont="1" applyFill="1"/>
    <xf numFmtId="165" fontId="0" fillId="0" borderId="0" xfId="0" applyNumberFormat="1"/>
    <xf numFmtId="0" fontId="0" fillId="0" borderId="0" xfId="0" applyAlignment="1">
      <alignment wrapText="1"/>
    </xf>
    <xf numFmtId="16" fontId="0" fillId="0" borderId="0" xfId="0" applyNumberFormat="1"/>
    <xf numFmtId="14" fontId="0" fillId="0" borderId="0" xfId="0" applyNumberFormat="1"/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0" fillId="0" borderId="1" xfId="0" applyBorder="1"/>
    <xf numFmtId="165" fontId="2" fillId="0" borderId="0" xfId="0" applyNumberFormat="1" applyFont="1"/>
    <xf numFmtId="14" fontId="2" fillId="0" borderId="0" xfId="0" applyNumberFormat="1" applyFon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wrapText="1"/>
    </xf>
    <xf numFmtId="14" fontId="0" fillId="3" borderId="0" xfId="0" applyNumberFormat="1" applyFill="1"/>
    <xf numFmtId="165" fontId="0" fillId="0" borderId="1" xfId="0" applyNumberFormat="1" applyBorder="1"/>
    <xf numFmtId="0" fontId="6" fillId="0" borderId="0" xfId="2" applyAlignment="1"/>
  </cellXfs>
  <cellStyles count="3">
    <cellStyle name="Comma" xfId="1" builtinId="3"/>
    <cellStyle name="Hyperlink" xfId="2" builtinId="8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* #,##0_ ;_ * \-#,##0_ ;_ * &quot;-&quot;??_ ;_ @_ 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* #,##0_ ;_ * \-#,##0_ ;_ * &quot;-&quot;??_ ;_ @_ 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7620</xdr:rowOff>
        </xdr:from>
        <xdr:to>
          <xdr:col>5</xdr:col>
          <xdr:colOff>38100</xdr:colOff>
          <xdr:row>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9</xdr:row>
          <xdr:rowOff>7620</xdr:rowOff>
        </xdr:from>
        <xdr:to>
          <xdr:col>5</xdr:col>
          <xdr:colOff>60960</xdr:colOff>
          <xdr:row>15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 HDFC Savings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0</xdr:row>
          <xdr:rowOff>0</xdr:rowOff>
        </xdr:from>
        <xdr:to>
          <xdr:col>10</xdr:col>
          <xdr:colOff>373380</xdr:colOff>
          <xdr:row>6</xdr:row>
          <xdr:rowOff>99060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ICICI Credit Card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579120</xdr:colOff>
          <xdr:row>9</xdr:row>
          <xdr:rowOff>15240</xdr:rowOff>
        </xdr:from>
        <xdr:to>
          <xdr:col>10</xdr:col>
          <xdr:colOff>350520</xdr:colOff>
          <xdr:row>15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HSBC Credit Card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4</xdr:row>
          <xdr:rowOff>106680</xdr:rowOff>
        </xdr:from>
        <xdr:to>
          <xdr:col>15</xdr:col>
          <xdr:colOff>480060</xdr:colOff>
          <xdr:row>11</xdr:row>
          <xdr:rowOff>22860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 Data - Credit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342B45-7BD4-4FFB-8086-B93EA3424517}" name="Table2" displayName="Table2" ref="A1:F22" totalsRowShown="0" headerRowDxfId="16">
  <autoFilter ref="A1:F22" xr:uid="{5E342B45-7BD4-4FFB-8086-B93EA3424517}"/>
  <tableColumns count="6">
    <tableColumn id="1" xr3:uid="{1E1D377B-6242-4D9F-A218-9FA1CA552979}" name="Bank/Vendor Name" dataDxfId="15"/>
    <tableColumn id="2" xr3:uid="{F711380D-C413-49A0-8D68-7F2F5E38DFC5}" name="Capital Type" dataDxfId="14"/>
    <tableColumn id="3" xr3:uid="{21942C01-37A6-4161-A852-0FB8C0565B89}" name="Amount" dataDxfId="13" dataCellStyle="Comma"/>
    <tableColumn id="4" xr3:uid="{E9BBA57D-8D98-4482-A6F5-F20085848E05}" name="Maturity Amount" dataDxfId="12" dataCellStyle="Comma"/>
    <tableColumn id="5" xr3:uid="{D5A1A588-A1DC-4FBB-A351-B7C2B798D4DE}" name="Maturity Date (FD)" dataDxfId="11"/>
    <tableColumn id="6" xr3:uid="{D909CCD7-1812-4FC0-AEC4-2C9C873A03B8}" name="Days To Maturity" dataDxfId="10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B5F20C-5F55-4D5A-BB6D-3E3D70227E70}" name="Table1" displayName="Table1" ref="P4:P7" totalsRowShown="0">
  <autoFilter ref="P4:P7" xr:uid="{E9B5F20C-5F55-4D5A-BB6D-3E3D70227E70}"/>
  <tableColumns count="1">
    <tableColumn id="1" xr3:uid="{EE13E6A8-DC07-4A8C-BB4E-D7C475E4988C}" name="Status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E3360E-FC72-4F8B-8916-42A5B9B7D3A1}" name="Table3" displayName="Table3" ref="A4:I480" totalsRowShown="0" headerRowDxfId="9">
  <autoFilter ref="A4:I480" xr:uid="{30E3360E-FC72-4F8B-8916-42A5B9B7D3A1}"/>
  <tableColumns count="9">
    <tableColumn id="1" xr3:uid="{D56CDC0A-8D61-4DFD-8177-9DDC65888DDC}" name="Sno."/>
    <tableColumn id="2" xr3:uid="{E6073FDF-F1D0-43E2-AED1-9C88F84E58D8}" name="Vendor Name"/>
    <tableColumn id="3" xr3:uid="{584C72DB-3F2F-4D9E-887C-ADAC3C9E51F0}" name="Bill Due"/>
    <tableColumn id="9" xr3:uid="{68E2F629-436C-4AA6-B6A1-42DD39DEC57B}" name="Minimum Bill Due"/>
    <tableColumn id="4" xr3:uid="{FAFABE47-D395-459A-AC07-E33BB5EBB5E8}" name="Total Amount Paid"/>
    <tableColumn id="5" xr3:uid="{9B77354A-1932-45B0-A102-36C3F0DA70D2}" name="Amount Paid On" dataDxfId="8"/>
    <tableColumn id="6" xr3:uid="{1EDEBA94-B4D4-4F62-8906-2DD2BDCF51B9}" name="Remaining Balance"/>
    <tableColumn id="7" xr3:uid="{3DF3620F-C4F8-4442-BCC0-E8BF7A5D88BB}" name="Bill Amount For Period Paid or Not"/>
    <tableColumn id="8" xr3:uid="{32933B8D-CE64-4CBD-90DE-CBFA34103461}" name="Days b/w today and due date" dataDxfId="7">
      <calculatedColumnFormula>IF(Table3[[#This Row],[Vendor Name]]&lt;&gt;"",IF(DAY(_xlfn.NUMBERVALUE(TODAY()))&gt;=DAY($B$1),VLOOKUP(MONTH(TODAY()),$R$3:$S$15, 2, FALSE)-1-(DAY(TODAY())-DAY($B$1)), DAY($B$1)-DAY(_xlfn.NUMBERVALUE(TODAY()))-1),"")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UPI-AXIS-CRED.CLUB@AXISB-UTIB0000114-322950671089-PAYMENT%20ON%20CRED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6CC2F-CDAD-4CEF-81DF-7D4AAD984B02}">
  <sheetPr codeName="Sheet6"/>
  <dimension ref="A1:N2718"/>
  <sheetViews>
    <sheetView tabSelected="1" zoomScale="81" workbookViewId="0">
      <pane xSplit="1" ySplit="1" topLeftCell="B73" activePane="bottomRight" state="frozen"/>
      <selection activeCell="G16" sqref="G16"/>
      <selection pane="topRight" activeCell="G16" sqref="G16"/>
      <selection pane="bottomLeft" activeCell="G16" sqref="G16"/>
      <selection pane="bottomRight" activeCell="B66" sqref="B66"/>
    </sheetView>
  </sheetViews>
  <sheetFormatPr defaultRowHeight="14.4" x14ac:dyDescent="0.3"/>
  <cols>
    <col min="1" max="1" width="9.109375" customWidth="1"/>
    <col min="2" max="2" width="44" style="6" customWidth="1"/>
    <col min="3" max="3" width="17.21875" hidden="1" customWidth="1"/>
    <col min="4" max="4" width="11.6640625" hidden="1" customWidth="1"/>
    <col min="5" max="5" width="20.5546875" customWidth="1"/>
    <col min="6" max="6" width="17.33203125" customWidth="1"/>
    <col min="7" max="7" width="17.5546875" customWidth="1"/>
    <col min="8" max="8" width="25.44140625" hidden="1" customWidth="1"/>
    <col min="9" max="9" width="8.88671875" customWidth="1"/>
    <col min="10" max="11" width="19.109375" customWidth="1"/>
    <col min="12" max="12" width="21.44140625" customWidth="1"/>
    <col min="13" max="13" width="27.109375" style="5" customWidth="1"/>
    <col min="14" max="14" width="13.5546875" customWidth="1"/>
  </cols>
  <sheetData>
    <row r="1" spans="1:14" x14ac:dyDescent="0.3">
      <c r="A1" s="19" t="s">
        <v>26</v>
      </c>
      <c r="B1" s="20" t="s">
        <v>27</v>
      </c>
      <c r="C1" s="19" t="s">
        <v>28</v>
      </c>
      <c r="D1" s="19" t="s">
        <v>29</v>
      </c>
      <c r="E1" s="19" t="s">
        <v>30</v>
      </c>
      <c r="F1" s="19" t="s">
        <v>31</v>
      </c>
      <c r="G1" s="19" t="s">
        <v>32</v>
      </c>
      <c r="H1" s="19" t="s">
        <v>34</v>
      </c>
      <c r="I1" s="19" t="s">
        <v>38</v>
      </c>
      <c r="J1" s="19" t="s">
        <v>36</v>
      </c>
      <c r="K1" s="19" t="s">
        <v>37</v>
      </c>
      <c r="L1" s="19" t="s">
        <v>186</v>
      </c>
      <c r="M1" s="19" t="s">
        <v>35</v>
      </c>
      <c r="N1" s="18" t="s">
        <v>223</v>
      </c>
    </row>
    <row r="2" spans="1:14" x14ac:dyDescent="0.3">
      <c r="A2" s="15" t="s">
        <v>1230</v>
      </c>
      <c r="B2" s="15" t="s">
        <v>1231</v>
      </c>
      <c r="C2" s="15" t="s">
        <v>1232</v>
      </c>
      <c r="D2" s="15" t="s">
        <v>1230</v>
      </c>
      <c r="E2" s="15">
        <v>45.84</v>
      </c>
      <c r="F2" s="15"/>
      <c r="G2" s="15">
        <v>995.11</v>
      </c>
      <c r="H2" s="15" t="s">
        <v>1233</v>
      </c>
      <c r="I2" s="15" t="s">
        <v>11</v>
      </c>
      <c r="J2" s="15"/>
      <c r="K2" s="15"/>
      <c r="L2" s="15"/>
      <c r="M2" s="15"/>
      <c r="N2" s="15"/>
    </row>
    <row r="3" spans="1:14" x14ac:dyDescent="0.3">
      <c r="A3" t="s">
        <v>121</v>
      </c>
      <c r="B3" t="s">
        <v>126</v>
      </c>
      <c r="C3" t="s">
        <v>127</v>
      </c>
      <c r="D3" t="s">
        <v>121</v>
      </c>
      <c r="E3">
        <v>5.9</v>
      </c>
      <c r="G3">
        <v>1784.56</v>
      </c>
      <c r="H3" t="s">
        <v>128</v>
      </c>
      <c r="I3" t="s">
        <v>11</v>
      </c>
      <c r="M3" s="22">
        <f>IFERROR(DATEVALUE(A3),"")</f>
        <v>45113</v>
      </c>
    </row>
    <row r="4" spans="1:14" x14ac:dyDescent="0.3">
      <c r="A4" t="s">
        <v>535</v>
      </c>
      <c r="B4" t="s">
        <v>542</v>
      </c>
      <c r="C4" t="s">
        <v>543</v>
      </c>
      <c r="D4" t="s">
        <v>535</v>
      </c>
      <c r="F4">
        <v>38</v>
      </c>
      <c r="G4">
        <v>22977.85</v>
      </c>
      <c r="H4" t="s">
        <v>544</v>
      </c>
      <c r="I4" t="s">
        <v>11</v>
      </c>
      <c r="M4" s="22">
        <f t="shared" ref="M4:M40" si="0">IFERROR(DATEVALUE(A4),"")</f>
        <v>45149</v>
      </c>
    </row>
    <row r="5" spans="1:14" x14ac:dyDescent="0.3">
      <c r="A5" t="s">
        <v>804</v>
      </c>
      <c r="B5" t="s">
        <v>807</v>
      </c>
      <c r="C5" t="s">
        <v>808</v>
      </c>
      <c r="D5" t="s">
        <v>804</v>
      </c>
      <c r="F5">
        <v>11519.19</v>
      </c>
      <c r="G5">
        <v>16836.849999999999</v>
      </c>
      <c r="H5" t="s">
        <v>809</v>
      </c>
      <c r="I5" t="s">
        <v>11</v>
      </c>
      <c r="M5" s="22">
        <f t="shared" si="0"/>
        <v>45134</v>
      </c>
    </row>
    <row r="6" spans="1:14" x14ac:dyDescent="0.3">
      <c r="A6" t="s">
        <v>1319</v>
      </c>
      <c r="B6" t="s">
        <v>1329</v>
      </c>
      <c r="C6" t="s">
        <v>1330</v>
      </c>
      <c r="D6" t="s">
        <v>1319</v>
      </c>
      <c r="F6">
        <v>20.350000000000001</v>
      </c>
      <c r="G6">
        <v>55758.46</v>
      </c>
      <c r="H6" t="s">
        <v>1331</v>
      </c>
      <c r="I6" t="s">
        <v>11</v>
      </c>
      <c r="M6" s="22">
        <f t="shared" si="0"/>
        <v>45198</v>
      </c>
    </row>
    <row r="7" spans="1:14" x14ac:dyDescent="0.3">
      <c r="A7" t="s">
        <v>81</v>
      </c>
      <c r="B7" t="s">
        <v>91</v>
      </c>
      <c r="C7" t="s">
        <v>92</v>
      </c>
      <c r="D7" t="s">
        <v>81</v>
      </c>
      <c r="F7">
        <v>17.5</v>
      </c>
      <c r="G7">
        <v>23777.46</v>
      </c>
      <c r="H7" t="s">
        <v>93</v>
      </c>
      <c r="I7" t="s">
        <v>11</v>
      </c>
      <c r="M7" s="22">
        <f t="shared" si="0"/>
        <v>45110</v>
      </c>
    </row>
    <row r="8" spans="1:14" x14ac:dyDescent="0.3">
      <c r="A8" t="s">
        <v>1006</v>
      </c>
      <c r="B8" t="s">
        <v>1013</v>
      </c>
      <c r="C8" t="s">
        <v>1014</v>
      </c>
      <c r="D8" t="s">
        <v>1006</v>
      </c>
      <c r="E8">
        <v>4000</v>
      </c>
      <c r="G8">
        <v>21315.17</v>
      </c>
      <c r="H8" t="s">
        <v>1015</v>
      </c>
      <c r="I8" t="s">
        <v>11</v>
      </c>
      <c r="M8" s="22">
        <f t="shared" si="0"/>
        <v>45170</v>
      </c>
    </row>
    <row r="9" spans="1:14" x14ac:dyDescent="0.3">
      <c r="A9" t="s">
        <v>42</v>
      </c>
      <c r="B9" t="s">
        <v>50</v>
      </c>
      <c r="C9" t="s">
        <v>51</v>
      </c>
      <c r="D9" t="s">
        <v>42</v>
      </c>
      <c r="E9">
        <v>2255</v>
      </c>
      <c r="G9">
        <v>51571.01</v>
      </c>
      <c r="H9" t="s">
        <v>52</v>
      </c>
      <c r="I9" t="s">
        <v>11</v>
      </c>
      <c r="M9" s="22">
        <f t="shared" si="0"/>
        <v>45108</v>
      </c>
    </row>
    <row r="10" spans="1:14" x14ac:dyDescent="0.3">
      <c r="A10" t="s">
        <v>433</v>
      </c>
      <c r="B10" t="s">
        <v>440</v>
      </c>
      <c r="C10" t="s">
        <v>441</v>
      </c>
      <c r="D10" t="s">
        <v>433</v>
      </c>
      <c r="E10">
        <v>1000</v>
      </c>
      <c r="G10">
        <v>36641.85</v>
      </c>
      <c r="H10" t="s">
        <v>442</v>
      </c>
      <c r="I10" t="s">
        <v>11</v>
      </c>
      <c r="M10" s="22">
        <f t="shared" si="0"/>
        <v>45139</v>
      </c>
    </row>
    <row r="11" spans="1:14" x14ac:dyDescent="0.3">
      <c r="A11" t="s">
        <v>1006</v>
      </c>
      <c r="B11" t="s">
        <v>1010</v>
      </c>
      <c r="C11" t="s">
        <v>1011</v>
      </c>
      <c r="D11" t="s">
        <v>1006</v>
      </c>
      <c r="E11">
        <v>5000</v>
      </c>
      <c r="G11">
        <v>27315.17</v>
      </c>
      <c r="H11" t="s">
        <v>1012</v>
      </c>
      <c r="I11" t="s">
        <v>11</v>
      </c>
      <c r="M11" s="22">
        <f t="shared" si="0"/>
        <v>45170</v>
      </c>
    </row>
    <row r="12" spans="1:14" x14ac:dyDescent="0.3">
      <c r="A12" t="s">
        <v>42</v>
      </c>
      <c r="B12" t="s">
        <v>47</v>
      </c>
      <c r="C12" t="s">
        <v>48</v>
      </c>
      <c r="D12" t="s">
        <v>42</v>
      </c>
      <c r="E12">
        <v>3000</v>
      </c>
      <c r="G12">
        <v>54071.01</v>
      </c>
      <c r="H12" t="s">
        <v>49</v>
      </c>
      <c r="I12" t="s">
        <v>11</v>
      </c>
      <c r="M12" s="22">
        <f t="shared" si="0"/>
        <v>45108</v>
      </c>
    </row>
    <row r="13" spans="1:14" x14ac:dyDescent="0.3">
      <c r="A13" t="s">
        <v>433</v>
      </c>
      <c r="B13" t="s">
        <v>434</v>
      </c>
      <c r="C13" t="s">
        <v>435</v>
      </c>
      <c r="D13" t="s">
        <v>433</v>
      </c>
      <c r="E13">
        <v>3000</v>
      </c>
      <c r="G13">
        <v>45041.85</v>
      </c>
      <c r="H13" t="s">
        <v>436</v>
      </c>
      <c r="I13" t="s">
        <v>11</v>
      </c>
      <c r="M13" s="22">
        <f t="shared" si="0"/>
        <v>45139</v>
      </c>
    </row>
    <row r="14" spans="1:14" x14ac:dyDescent="0.3">
      <c r="A14" t="s">
        <v>1006</v>
      </c>
      <c r="B14" t="s">
        <v>1007</v>
      </c>
      <c r="C14" t="s">
        <v>1008</v>
      </c>
      <c r="D14" t="s">
        <v>1006</v>
      </c>
      <c r="E14">
        <v>2400</v>
      </c>
      <c r="G14">
        <v>30315.17</v>
      </c>
      <c r="H14" t="s">
        <v>1009</v>
      </c>
      <c r="I14" t="s">
        <v>11</v>
      </c>
      <c r="M14" s="22">
        <f t="shared" si="0"/>
        <v>45170</v>
      </c>
    </row>
    <row r="15" spans="1:14" x14ac:dyDescent="0.3">
      <c r="A15" t="s">
        <v>433</v>
      </c>
      <c r="B15" t="s">
        <v>437</v>
      </c>
      <c r="C15" t="s">
        <v>438</v>
      </c>
      <c r="D15" t="s">
        <v>433</v>
      </c>
      <c r="E15">
        <v>2400</v>
      </c>
      <c r="G15">
        <v>42641.85</v>
      </c>
      <c r="H15" t="s">
        <v>439</v>
      </c>
      <c r="I15" t="s">
        <v>11</v>
      </c>
      <c r="M15" s="22">
        <f t="shared" si="0"/>
        <v>45139</v>
      </c>
    </row>
    <row r="16" spans="1:14" x14ac:dyDescent="0.3">
      <c r="A16" t="s">
        <v>42</v>
      </c>
      <c r="B16" t="s">
        <v>53</v>
      </c>
      <c r="C16" t="s">
        <v>54</v>
      </c>
      <c r="D16" t="s">
        <v>42</v>
      </c>
      <c r="E16">
        <v>1100</v>
      </c>
      <c r="G16">
        <v>46071.01</v>
      </c>
      <c r="H16" t="s">
        <v>55</v>
      </c>
      <c r="I16" t="s">
        <v>11</v>
      </c>
      <c r="M16" s="22">
        <f t="shared" si="0"/>
        <v>45108</v>
      </c>
    </row>
    <row r="17" spans="1:13" x14ac:dyDescent="0.3">
      <c r="A17" t="s">
        <v>722</v>
      </c>
      <c r="B17" t="s">
        <v>729</v>
      </c>
      <c r="C17" t="s">
        <v>730</v>
      </c>
      <c r="D17" t="s">
        <v>722</v>
      </c>
      <c r="E17">
        <v>10.62</v>
      </c>
      <c r="G17">
        <v>9622.94</v>
      </c>
      <c r="H17" t="s">
        <v>731</v>
      </c>
      <c r="I17" t="s">
        <v>11</v>
      </c>
      <c r="M17" s="22">
        <f t="shared" si="0"/>
        <v>45125</v>
      </c>
    </row>
    <row r="18" spans="1:13" x14ac:dyDescent="0.3">
      <c r="A18" t="s">
        <v>826</v>
      </c>
      <c r="B18" t="s">
        <v>827</v>
      </c>
      <c r="C18" t="s">
        <v>828</v>
      </c>
      <c r="D18" t="s">
        <v>826</v>
      </c>
      <c r="F18">
        <v>23000</v>
      </c>
      <c r="G18">
        <v>26042.85</v>
      </c>
      <c r="H18" t="s">
        <v>829</v>
      </c>
      <c r="I18" t="s">
        <v>11</v>
      </c>
      <c r="M18" s="22">
        <f t="shared" si="0"/>
        <v>45136</v>
      </c>
    </row>
    <row r="19" spans="1:13" x14ac:dyDescent="0.3">
      <c r="A19" t="s">
        <v>757</v>
      </c>
      <c r="B19" t="s">
        <v>761</v>
      </c>
      <c r="C19" t="s">
        <v>762</v>
      </c>
      <c r="D19" t="s">
        <v>757</v>
      </c>
      <c r="F19">
        <v>20600</v>
      </c>
      <c r="G19">
        <v>25532.94</v>
      </c>
      <c r="H19" t="s">
        <v>763</v>
      </c>
      <c r="I19" t="s">
        <v>11</v>
      </c>
      <c r="M19" s="22">
        <f t="shared" si="0"/>
        <v>45128</v>
      </c>
    </row>
    <row r="20" spans="1:13" x14ac:dyDescent="0.3">
      <c r="A20" t="s">
        <v>1339</v>
      </c>
      <c r="B20" t="s">
        <v>1340</v>
      </c>
      <c r="C20" t="s">
        <v>33</v>
      </c>
      <c r="D20" t="s">
        <v>1332</v>
      </c>
      <c r="F20">
        <v>87</v>
      </c>
      <c r="G20">
        <v>55354.46</v>
      </c>
      <c r="H20" t="s">
        <v>1341</v>
      </c>
      <c r="I20" t="s">
        <v>11</v>
      </c>
      <c r="M20" s="22">
        <f t="shared" si="0"/>
        <v>45200</v>
      </c>
    </row>
    <row r="21" spans="1:13" x14ac:dyDescent="0.3">
      <c r="A21" t="s">
        <v>231</v>
      </c>
      <c r="B21" t="s">
        <v>235</v>
      </c>
      <c r="C21" t="s">
        <v>33</v>
      </c>
      <c r="D21" t="s">
        <v>231</v>
      </c>
      <c r="F21">
        <v>100</v>
      </c>
      <c r="G21">
        <v>26726.560000000001</v>
      </c>
      <c r="H21" t="s">
        <v>236</v>
      </c>
      <c r="I21" t="s">
        <v>11</v>
      </c>
      <c r="M21" s="22">
        <f t="shared" si="0"/>
        <v>45118</v>
      </c>
    </row>
    <row r="22" spans="1:13" x14ac:dyDescent="0.3">
      <c r="A22" t="s">
        <v>231</v>
      </c>
      <c r="B22" t="s">
        <v>232</v>
      </c>
      <c r="C22" t="s">
        <v>233</v>
      </c>
      <c r="D22" t="s">
        <v>231</v>
      </c>
      <c r="F22">
        <v>27000</v>
      </c>
      <c r="G22">
        <v>27626.560000000001</v>
      </c>
      <c r="H22" t="s">
        <v>234</v>
      </c>
      <c r="I22" t="s">
        <v>11</v>
      </c>
      <c r="M22" s="22">
        <f t="shared" si="0"/>
        <v>45118</v>
      </c>
    </row>
    <row r="23" spans="1:13" x14ac:dyDescent="0.3">
      <c r="A23" t="s">
        <v>161</v>
      </c>
      <c r="B23" t="s">
        <v>168</v>
      </c>
      <c r="C23" t="s">
        <v>33</v>
      </c>
      <c r="D23" t="s">
        <v>142</v>
      </c>
      <c r="F23">
        <v>3</v>
      </c>
      <c r="G23">
        <v>-595.44000000000005</v>
      </c>
      <c r="H23" t="s">
        <v>169</v>
      </c>
      <c r="I23" t="s">
        <v>11</v>
      </c>
      <c r="M23" s="22">
        <f t="shared" si="0"/>
        <v>45116</v>
      </c>
    </row>
    <row r="24" spans="1:13" x14ac:dyDescent="0.3">
      <c r="A24" t="s">
        <v>864</v>
      </c>
      <c r="B24" t="s">
        <v>168</v>
      </c>
      <c r="C24" t="s">
        <v>33</v>
      </c>
      <c r="D24" t="s">
        <v>849</v>
      </c>
      <c r="F24">
        <v>4</v>
      </c>
      <c r="G24">
        <v>32.17</v>
      </c>
      <c r="H24" t="s">
        <v>866</v>
      </c>
      <c r="I24" t="s">
        <v>11</v>
      </c>
      <c r="M24" s="22">
        <f t="shared" si="0"/>
        <v>45159</v>
      </c>
    </row>
    <row r="25" spans="1:13" x14ac:dyDescent="0.3">
      <c r="A25" t="s">
        <v>142</v>
      </c>
      <c r="B25" t="s">
        <v>146</v>
      </c>
      <c r="C25" t="s">
        <v>33</v>
      </c>
      <c r="D25" t="s">
        <v>138</v>
      </c>
      <c r="F25">
        <v>1</v>
      </c>
      <c r="G25">
        <v>-1195.44</v>
      </c>
      <c r="H25" t="s">
        <v>147</v>
      </c>
      <c r="I25" t="s">
        <v>11</v>
      </c>
      <c r="M25" s="22">
        <f t="shared" si="0"/>
        <v>45115</v>
      </c>
    </row>
    <row r="26" spans="1:13" x14ac:dyDescent="0.3">
      <c r="A26" t="s">
        <v>161</v>
      </c>
      <c r="B26" t="s">
        <v>146</v>
      </c>
      <c r="C26" t="s">
        <v>33</v>
      </c>
      <c r="D26" t="s">
        <v>142</v>
      </c>
      <c r="F26">
        <v>-2</v>
      </c>
      <c r="G26">
        <v>-49817.440000000002</v>
      </c>
      <c r="H26" t="s">
        <v>162</v>
      </c>
      <c r="I26" t="s">
        <v>11</v>
      </c>
      <c r="M26" s="22">
        <f t="shared" si="0"/>
        <v>45116</v>
      </c>
    </row>
    <row r="27" spans="1:13" x14ac:dyDescent="0.3">
      <c r="A27" t="s">
        <v>161</v>
      </c>
      <c r="B27" t="s">
        <v>146</v>
      </c>
      <c r="C27" t="s">
        <v>33</v>
      </c>
      <c r="D27" t="s">
        <v>142</v>
      </c>
      <c r="F27">
        <v>-183</v>
      </c>
      <c r="G27">
        <v>-49400.44</v>
      </c>
      <c r="H27" t="s">
        <v>164</v>
      </c>
      <c r="I27" t="s">
        <v>11</v>
      </c>
      <c r="M27" s="22">
        <f t="shared" si="0"/>
        <v>45116</v>
      </c>
    </row>
    <row r="28" spans="1:13" x14ac:dyDescent="0.3">
      <c r="A28" t="s">
        <v>161</v>
      </c>
      <c r="B28" t="s">
        <v>146</v>
      </c>
      <c r="C28" t="s">
        <v>33</v>
      </c>
      <c r="D28" t="s">
        <v>142</v>
      </c>
      <c r="F28">
        <v>-1</v>
      </c>
      <c r="G28">
        <v>-705.44</v>
      </c>
      <c r="H28" t="s">
        <v>166</v>
      </c>
      <c r="I28" t="s">
        <v>11</v>
      </c>
      <c r="M28" s="22">
        <f t="shared" si="0"/>
        <v>45116</v>
      </c>
    </row>
    <row r="29" spans="1:13" x14ac:dyDescent="0.3">
      <c r="A29" t="s">
        <v>757</v>
      </c>
      <c r="B29" t="s">
        <v>764</v>
      </c>
      <c r="C29" t="s">
        <v>765</v>
      </c>
      <c r="D29" t="s">
        <v>757</v>
      </c>
      <c r="E29">
        <v>130</v>
      </c>
      <c r="G29">
        <v>25402.94</v>
      </c>
      <c r="H29" t="s">
        <v>766</v>
      </c>
      <c r="I29" t="s">
        <v>11</v>
      </c>
      <c r="M29" s="22">
        <f t="shared" si="0"/>
        <v>45128</v>
      </c>
    </row>
    <row r="30" spans="1:13" x14ac:dyDescent="0.3">
      <c r="A30" t="s">
        <v>864</v>
      </c>
      <c r="B30" t="s">
        <v>764</v>
      </c>
      <c r="C30" t="s">
        <v>880</v>
      </c>
      <c r="D30" t="s">
        <v>864</v>
      </c>
      <c r="E30">
        <v>130</v>
      </c>
      <c r="G30">
        <v>474.17</v>
      </c>
      <c r="H30" t="s">
        <v>881</v>
      </c>
      <c r="I30" t="s">
        <v>11</v>
      </c>
      <c r="M30" s="22">
        <f t="shared" si="0"/>
        <v>45159</v>
      </c>
    </row>
    <row r="31" spans="1:13" x14ac:dyDescent="0.3">
      <c r="A31" t="s">
        <v>181</v>
      </c>
      <c r="B31" t="s">
        <v>228</v>
      </c>
      <c r="C31" t="s">
        <v>229</v>
      </c>
      <c r="D31" t="s">
        <v>181</v>
      </c>
      <c r="E31">
        <v>649</v>
      </c>
      <c r="G31">
        <v>626.55999999999995</v>
      </c>
      <c r="H31" t="s">
        <v>230</v>
      </c>
      <c r="I31" t="s">
        <v>11</v>
      </c>
      <c r="M31" s="22">
        <f t="shared" si="0"/>
        <v>45117</v>
      </c>
    </row>
    <row r="32" spans="1:13" x14ac:dyDescent="0.3">
      <c r="A32" t="s">
        <v>181</v>
      </c>
      <c r="B32" t="s">
        <v>225</v>
      </c>
      <c r="C32" t="s">
        <v>226</v>
      </c>
      <c r="D32" t="s">
        <v>181</v>
      </c>
      <c r="E32">
        <v>189</v>
      </c>
      <c r="G32">
        <v>1275.56</v>
      </c>
      <c r="H32" t="s">
        <v>227</v>
      </c>
      <c r="I32" t="s">
        <v>11</v>
      </c>
      <c r="M32" s="22">
        <f t="shared" si="0"/>
        <v>45117</v>
      </c>
    </row>
    <row r="33" spans="1:13" x14ac:dyDescent="0.3">
      <c r="A33" t="s">
        <v>529</v>
      </c>
      <c r="B33" t="s">
        <v>225</v>
      </c>
      <c r="C33" t="s">
        <v>533</v>
      </c>
      <c r="D33" t="s">
        <v>529</v>
      </c>
      <c r="E33">
        <v>189</v>
      </c>
      <c r="G33">
        <v>20037.849999999999</v>
      </c>
      <c r="H33" t="s">
        <v>534</v>
      </c>
      <c r="I33" t="s">
        <v>11</v>
      </c>
      <c r="M33" s="22">
        <f t="shared" si="0"/>
        <v>45148</v>
      </c>
    </row>
    <row r="34" spans="1:13" x14ac:dyDescent="0.3">
      <c r="A34" t="s">
        <v>1109</v>
      </c>
      <c r="B34" t="s">
        <v>225</v>
      </c>
      <c r="C34" t="s">
        <v>1110</v>
      </c>
      <c r="D34" t="s">
        <v>1109</v>
      </c>
      <c r="E34">
        <v>189</v>
      </c>
      <c r="G34">
        <v>8092.35</v>
      </c>
      <c r="H34" t="s">
        <v>1111</v>
      </c>
      <c r="I34" t="s">
        <v>11</v>
      </c>
      <c r="M34" s="22">
        <f t="shared" si="0"/>
        <v>45179</v>
      </c>
    </row>
    <row r="35" spans="1:13" x14ac:dyDescent="0.3">
      <c r="A35" t="s">
        <v>142</v>
      </c>
      <c r="B35" t="s">
        <v>150</v>
      </c>
      <c r="C35" t="s">
        <v>151</v>
      </c>
      <c r="D35" t="s">
        <v>142</v>
      </c>
      <c r="F35">
        <v>287</v>
      </c>
      <c r="G35">
        <v>6888.56</v>
      </c>
      <c r="H35" t="s">
        <v>152</v>
      </c>
      <c r="I35" t="s">
        <v>11</v>
      </c>
      <c r="M35" s="22">
        <f t="shared" si="0"/>
        <v>45115</v>
      </c>
    </row>
    <row r="36" spans="1:13" x14ac:dyDescent="0.3">
      <c r="A36" t="s">
        <v>1260</v>
      </c>
      <c r="B36" t="s">
        <v>1264</v>
      </c>
      <c r="C36" t="s">
        <v>1265</v>
      </c>
      <c r="D36" t="s">
        <v>1260</v>
      </c>
      <c r="E36">
        <v>935</v>
      </c>
      <c r="G36">
        <v>6562.11</v>
      </c>
      <c r="H36" t="s">
        <v>1266</v>
      </c>
      <c r="I36" t="s">
        <v>11</v>
      </c>
      <c r="M36" s="22">
        <f t="shared" si="0"/>
        <v>45192</v>
      </c>
    </row>
    <row r="37" spans="1:13" x14ac:dyDescent="0.3">
      <c r="A37" t="s">
        <v>1205</v>
      </c>
      <c r="B37" t="s">
        <v>1207</v>
      </c>
      <c r="C37" t="s">
        <v>1208</v>
      </c>
      <c r="D37" t="s">
        <v>1205</v>
      </c>
      <c r="E37">
        <v>210</v>
      </c>
      <c r="G37">
        <v>1410.25</v>
      </c>
      <c r="H37" t="s">
        <v>1209</v>
      </c>
      <c r="I37" t="s">
        <v>11</v>
      </c>
      <c r="M37" s="22">
        <f t="shared" si="0"/>
        <v>45188</v>
      </c>
    </row>
    <row r="38" spans="1:13" x14ac:dyDescent="0.3">
      <c r="A38" t="s">
        <v>1167</v>
      </c>
      <c r="B38" t="s">
        <v>1171</v>
      </c>
      <c r="C38" t="s">
        <v>1172</v>
      </c>
      <c r="D38" t="s">
        <v>1167</v>
      </c>
      <c r="E38">
        <v>1349.1</v>
      </c>
      <c r="G38">
        <v>4818.25</v>
      </c>
      <c r="H38" t="s">
        <v>1173</v>
      </c>
      <c r="I38" t="s">
        <v>11</v>
      </c>
      <c r="M38" s="22">
        <f t="shared" si="0"/>
        <v>45185</v>
      </c>
    </row>
    <row r="39" spans="1:13" x14ac:dyDescent="0.3">
      <c r="A39" t="s">
        <v>684</v>
      </c>
      <c r="B39" t="s">
        <v>712</v>
      </c>
      <c r="C39" t="s">
        <v>713</v>
      </c>
      <c r="D39" t="s">
        <v>684</v>
      </c>
      <c r="E39">
        <v>22340</v>
      </c>
      <c r="G39">
        <v>19759.79</v>
      </c>
      <c r="H39" t="s">
        <v>714</v>
      </c>
      <c r="I39" t="s">
        <v>11</v>
      </c>
      <c r="M39" s="22">
        <f t="shared" si="0"/>
        <v>45157</v>
      </c>
    </row>
    <row r="40" spans="1:13" x14ac:dyDescent="0.3">
      <c r="A40" t="s">
        <v>684</v>
      </c>
      <c r="B40" t="s">
        <v>712</v>
      </c>
      <c r="C40" t="s">
        <v>715</v>
      </c>
      <c r="D40" t="s">
        <v>684</v>
      </c>
      <c r="E40">
        <v>21194</v>
      </c>
      <c r="G40">
        <v>-1434.21</v>
      </c>
      <c r="H40" t="s">
        <v>716</v>
      </c>
      <c r="I40" t="s">
        <v>11</v>
      </c>
      <c r="M40" s="22">
        <f t="shared" si="0"/>
        <v>45157</v>
      </c>
    </row>
    <row r="41" spans="1:13" x14ac:dyDescent="0.3">
      <c r="A41" t="s">
        <v>580</v>
      </c>
      <c r="B41" t="s">
        <v>602</v>
      </c>
      <c r="C41" t="s">
        <v>603</v>
      </c>
      <c r="D41" t="s">
        <v>580</v>
      </c>
      <c r="E41">
        <v>60</v>
      </c>
      <c r="G41">
        <v>6232.79</v>
      </c>
      <c r="H41" t="s">
        <v>604</v>
      </c>
      <c r="I41" t="s">
        <v>11</v>
      </c>
      <c r="M41" s="22">
        <f t="shared" ref="M41:M83" si="1">IFERROR(DATEVALUE(A41),"")</f>
        <v>45151</v>
      </c>
    </row>
    <row r="42" spans="1:13" x14ac:dyDescent="0.3">
      <c r="A42" t="s">
        <v>1167</v>
      </c>
      <c r="B42" t="s">
        <v>1168</v>
      </c>
      <c r="C42" t="s">
        <v>1169</v>
      </c>
      <c r="D42" t="s">
        <v>1167</v>
      </c>
      <c r="E42">
        <v>209</v>
      </c>
      <c r="G42">
        <v>6167.35</v>
      </c>
      <c r="H42" t="s">
        <v>1170</v>
      </c>
      <c r="I42" t="s">
        <v>11</v>
      </c>
      <c r="M42" s="22">
        <f t="shared" si="1"/>
        <v>45185</v>
      </c>
    </row>
    <row r="43" spans="1:13" x14ac:dyDescent="0.3">
      <c r="A43" t="s">
        <v>925</v>
      </c>
      <c r="B43" t="s">
        <v>926</v>
      </c>
      <c r="C43" t="s">
        <v>927</v>
      </c>
      <c r="D43" t="s">
        <v>925</v>
      </c>
      <c r="E43">
        <v>424</v>
      </c>
      <c r="G43">
        <v>3055.17</v>
      </c>
      <c r="H43" t="s">
        <v>928</v>
      </c>
      <c r="I43" t="s">
        <v>11</v>
      </c>
      <c r="M43" s="22">
        <f t="shared" si="1"/>
        <v>45163</v>
      </c>
    </row>
    <row r="44" spans="1:13" x14ac:dyDescent="0.3">
      <c r="A44" t="s">
        <v>1260</v>
      </c>
      <c r="B44" t="s">
        <v>1273</v>
      </c>
      <c r="C44" t="s">
        <v>1274</v>
      </c>
      <c r="D44" t="s">
        <v>1260</v>
      </c>
      <c r="E44">
        <v>1404</v>
      </c>
      <c r="G44">
        <v>1718.11</v>
      </c>
      <c r="H44" t="s">
        <v>1275</v>
      </c>
      <c r="I44" t="s">
        <v>11</v>
      </c>
      <c r="M44" s="22">
        <f t="shared" si="1"/>
        <v>45192</v>
      </c>
    </row>
    <row r="45" spans="1:13" x14ac:dyDescent="0.3">
      <c r="A45" t="s">
        <v>684</v>
      </c>
      <c r="B45" t="s">
        <v>690</v>
      </c>
      <c r="C45" t="s">
        <v>691</v>
      </c>
      <c r="D45" t="s">
        <v>684</v>
      </c>
      <c r="E45">
        <v>310</v>
      </c>
      <c r="G45">
        <v>1729.79</v>
      </c>
      <c r="H45" t="s">
        <v>692</v>
      </c>
      <c r="I45" t="s">
        <v>11</v>
      </c>
      <c r="M45" s="22">
        <f t="shared" si="1"/>
        <v>45157</v>
      </c>
    </row>
    <row r="46" spans="1:13" x14ac:dyDescent="0.3">
      <c r="A46" t="s">
        <v>580</v>
      </c>
      <c r="B46" t="s">
        <v>590</v>
      </c>
      <c r="C46" t="s">
        <v>591</v>
      </c>
      <c r="D46" t="s">
        <v>580</v>
      </c>
      <c r="E46">
        <v>2100</v>
      </c>
      <c r="G46">
        <v>6953.79</v>
      </c>
      <c r="H46" t="s">
        <v>592</v>
      </c>
      <c r="I46" t="s">
        <v>11</v>
      </c>
      <c r="M46" s="22">
        <f t="shared" si="1"/>
        <v>45151</v>
      </c>
    </row>
    <row r="47" spans="1:13" x14ac:dyDescent="0.3">
      <c r="A47" t="s">
        <v>256</v>
      </c>
      <c r="B47" t="s">
        <v>257</v>
      </c>
      <c r="C47" t="s">
        <v>258</v>
      </c>
      <c r="D47" t="s">
        <v>256</v>
      </c>
      <c r="E47">
        <v>800</v>
      </c>
      <c r="G47">
        <v>10582.56</v>
      </c>
      <c r="H47" t="s">
        <v>259</v>
      </c>
      <c r="I47" t="s">
        <v>11</v>
      </c>
      <c r="M47" s="22">
        <f t="shared" si="1"/>
        <v>45122</v>
      </c>
    </row>
    <row r="48" spans="1:13" x14ac:dyDescent="0.3">
      <c r="A48" t="s">
        <v>1306</v>
      </c>
      <c r="B48" t="s">
        <v>1316</v>
      </c>
      <c r="C48" t="s">
        <v>1317</v>
      </c>
      <c r="D48" t="s">
        <v>1306</v>
      </c>
      <c r="E48">
        <v>500</v>
      </c>
      <c r="G48">
        <v>2664.11</v>
      </c>
      <c r="H48" t="s">
        <v>1318</v>
      </c>
      <c r="I48" t="s">
        <v>11</v>
      </c>
      <c r="M48" s="22">
        <f t="shared" si="1"/>
        <v>45197</v>
      </c>
    </row>
    <row r="49" spans="1:13" x14ac:dyDescent="0.3">
      <c r="A49" t="s">
        <v>942</v>
      </c>
      <c r="B49" t="s">
        <v>943</v>
      </c>
      <c r="C49" t="s">
        <v>944</v>
      </c>
      <c r="D49" t="s">
        <v>942</v>
      </c>
      <c r="E49">
        <v>261</v>
      </c>
      <c r="G49">
        <v>3010.17</v>
      </c>
      <c r="H49" t="s">
        <v>945</v>
      </c>
      <c r="I49" t="s">
        <v>11</v>
      </c>
      <c r="M49" s="22">
        <f t="shared" si="1"/>
        <v>45165</v>
      </c>
    </row>
    <row r="50" spans="1:13" x14ac:dyDescent="0.3">
      <c r="A50" t="s">
        <v>81</v>
      </c>
      <c r="B50" t="s">
        <v>97</v>
      </c>
      <c r="C50" t="s">
        <v>98</v>
      </c>
      <c r="D50" t="s">
        <v>81</v>
      </c>
      <c r="E50">
        <v>624</v>
      </c>
      <c r="G50">
        <v>23083.46</v>
      </c>
      <c r="H50" t="s">
        <v>99</v>
      </c>
      <c r="I50" t="s">
        <v>11</v>
      </c>
      <c r="M50" s="22">
        <f t="shared" si="1"/>
        <v>45110</v>
      </c>
    </row>
    <row r="51" spans="1:13" x14ac:dyDescent="0.3">
      <c r="A51" t="s">
        <v>181</v>
      </c>
      <c r="B51" t="s">
        <v>97</v>
      </c>
      <c r="C51" t="s">
        <v>182</v>
      </c>
      <c r="D51" t="s">
        <v>181</v>
      </c>
      <c r="E51">
        <v>224</v>
      </c>
      <c r="G51">
        <v>8155.56</v>
      </c>
      <c r="H51" t="s">
        <v>183</v>
      </c>
      <c r="I51" t="s">
        <v>11</v>
      </c>
      <c r="M51" s="22">
        <f t="shared" si="1"/>
        <v>45117</v>
      </c>
    </row>
    <row r="52" spans="1:13" x14ac:dyDescent="0.3">
      <c r="A52" t="s">
        <v>684</v>
      </c>
      <c r="B52" t="s">
        <v>693</v>
      </c>
      <c r="C52" t="s">
        <v>694</v>
      </c>
      <c r="D52" t="s">
        <v>684</v>
      </c>
      <c r="E52">
        <v>900</v>
      </c>
      <c r="G52">
        <v>829.79</v>
      </c>
      <c r="H52" t="s">
        <v>695</v>
      </c>
      <c r="I52" t="s">
        <v>11</v>
      </c>
      <c r="M52" s="22">
        <f t="shared" si="1"/>
        <v>45157</v>
      </c>
    </row>
    <row r="53" spans="1:13" x14ac:dyDescent="0.3">
      <c r="A53" t="s">
        <v>849</v>
      </c>
      <c r="B53" t="s">
        <v>860</v>
      </c>
      <c r="C53" t="s">
        <v>861</v>
      </c>
      <c r="D53" t="s">
        <v>849</v>
      </c>
      <c r="E53">
        <v>1109.6199999999999</v>
      </c>
      <c r="G53">
        <v>-396.83</v>
      </c>
      <c r="H53" t="s">
        <v>862</v>
      </c>
      <c r="I53" t="s">
        <v>11</v>
      </c>
      <c r="M53" s="22">
        <f t="shared" si="1"/>
        <v>45158</v>
      </c>
    </row>
    <row r="54" spans="1:13" x14ac:dyDescent="0.3">
      <c r="A54" t="s">
        <v>1066</v>
      </c>
      <c r="B54" t="s">
        <v>1067</v>
      </c>
      <c r="C54" t="s">
        <v>1068</v>
      </c>
      <c r="D54" t="s">
        <v>1066</v>
      </c>
      <c r="F54">
        <v>31.5</v>
      </c>
      <c r="G54">
        <v>18311.669999999998</v>
      </c>
      <c r="H54" t="s">
        <v>1069</v>
      </c>
      <c r="I54" t="s">
        <v>11</v>
      </c>
      <c r="M54" s="22">
        <f t="shared" si="1"/>
        <v>45174</v>
      </c>
    </row>
    <row r="55" spans="1:13" x14ac:dyDescent="0.3">
      <c r="A55" t="s">
        <v>161</v>
      </c>
      <c r="B55" t="s">
        <v>170</v>
      </c>
      <c r="C55" t="s">
        <v>33</v>
      </c>
      <c r="D55" t="s">
        <v>142</v>
      </c>
      <c r="F55">
        <v>598</v>
      </c>
      <c r="G55">
        <v>2.56</v>
      </c>
      <c r="H55" t="s">
        <v>171</v>
      </c>
      <c r="I55" t="s">
        <v>11</v>
      </c>
      <c r="M55" s="22">
        <f t="shared" si="1"/>
        <v>45116</v>
      </c>
    </row>
    <row r="56" spans="1:13" x14ac:dyDescent="0.3">
      <c r="A56" t="s">
        <v>864</v>
      </c>
      <c r="B56" t="s">
        <v>170</v>
      </c>
      <c r="C56" t="s">
        <v>33</v>
      </c>
      <c r="D56" t="s">
        <v>849</v>
      </c>
      <c r="F56">
        <v>397</v>
      </c>
      <c r="G56">
        <v>429.17</v>
      </c>
      <c r="H56" t="s">
        <v>867</v>
      </c>
      <c r="I56" t="s">
        <v>11</v>
      </c>
      <c r="M56" s="22">
        <f t="shared" si="1"/>
        <v>45159</v>
      </c>
    </row>
    <row r="57" spans="1:13" x14ac:dyDescent="0.3">
      <c r="A57" t="s">
        <v>142</v>
      </c>
      <c r="B57" t="s">
        <v>148</v>
      </c>
      <c r="C57" t="s">
        <v>33</v>
      </c>
      <c r="D57" t="s">
        <v>138</v>
      </c>
      <c r="F57">
        <v>597</v>
      </c>
      <c r="G57">
        <v>-598.44000000000005</v>
      </c>
      <c r="H57" t="s">
        <v>149</v>
      </c>
      <c r="I57" t="s">
        <v>11</v>
      </c>
      <c r="M57" s="22">
        <f t="shared" si="1"/>
        <v>45115</v>
      </c>
    </row>
    <row r="58" spans="1:13" x14ac:dyDescent="0.3">
      <c r="A58" t="s">
        <v>161</v>
      </c>
      <c r="B58" t="s">
        <v>148</v>
      </c>
      <c r="C58" t="s">
        <v>33</v>
      </c>
      <c r="D58" t="s">
        <v>142</v>
      </c>
      <c r="F58">
        <v>600</v>
      </c>
      <c r="G58">
        <v>-49217.440000000002</v>
      </c>
      <c r="H58" t="s">
        <v>163</v>
      </c>
      <c r="I58" t="s">
        <v>11</v>
      </c>
      <c r="M58" s="22">
        <f t="shared" si="1"/>
        <v>45116</v>
      </c>
    </row>
    <row r="59" spans="1:13" x14ac:dyDescent="0.3">
      <c r="A59" t="s">
        <v>161</v>
      </c>
      <c r="B59" t="s">
        <v>148</v>
      </c>
      <c r="C59" t="s">
        <v>33</v>
      </c>
      <c r="D59" t="s">
        <v>142</v>
      </c>
      <c r="F59">
        <v>48696</v>
      </c>
      <c r="G59">
        <v>-704.44</v>
      </c>
      <c r="H59" t="s">
        <v>165</v>
      </c>
      <c r="I59" t="s">
        <v>11</v>
      </c>
      <c r="M59" s="22">
        <f t="shared" si="1"/>
        <v>45116</v>
      </c>
    </row>
    <row r="60" spans="1:13" x14ac:dyDescent="0.3">
      <c r="A60" t="s">
        <v>161</v>
      </c>
      <c r="B60" t="s">
        <v>148</v>
      </c>
      <c r="C60" t="s">
        <v>33</v>
      </c>
      <c r="D60" t="s">
        <v>142</v>
      </c>
      <c r="F60">
        <v>107</v>
      </c>
      <c r="G60">
        <v>-598.44000000000005</v>
      </c>
      <c r="H60" t="s">
        <v>167</v>
      </c>
      <c r="I60" t="s">
        <v>11</v>
      </c>
      <c r="M60" s="22">
        <f t="shared" si="1"/>
        <v>45116</v>
      </c>
    </row>
    <row r="61" spans="1:13" x14ac:dyDescent="0.3">
      <c r="A61" t="s">
        <v>1026</v>
      </c>
      <c r="B61" t="s">
        <v>1029</v>
      </c>
      <c r="C61" t="s">
        <v>1030</v>
      </c>
      <c r="D61" t="s">
        <v>1026</v>
      </c>
      <c r="E61">
        <v>357</v>
      </c>
      <c r="G61">
        <v>19479.169999999998</v>
      </c>
      <c r="H61" t="s">
        <v>1031</v>
      </c>
      <c r="I61" t="s">
        <v>11</v>
      </c>
      <c r="M61" s="22">
        <f t="shared" si="1"/>
        <v>45172</v>
      </c>
    </row>
    <row r="62" spans="1:13" x14ac:dyDescent="0.3">
      <c r="A62" t="s">
        <v>942</v>
      </c>
      <c r="B62" t="s">
        <v>952</v>
      </c>
      <c r="C62" t="s">
        <v>953</v>
      </c>
      <c r="D62" t="s">
        <v>942</v>
      </c>
      <c r="E62">
        <v>902</v>
      </c>
      <c r="G62">
        <v>1954.17</v>
      </c>
      <c r="H62" t="s">
        <v>954</v>
      </c>
      <c r="I62" t="s">
        <v>11</v>
      </c>
      <c r="M62" s="22">
        <f t="shared" si="1"/>
        <v>45165</v>
      </c>
    </row>
    <row r="63" spans="1:13" x14ac:dyDescent="0.3">
      <c r="A63" t="s">
        <v>142</v>
      </c>
      <c r="B63" t="s">
        <v>143</v>
      </c>
      <c r="C63" t="s">
        <v>144</v>
      </c>
      <c r="D63" t="s">
        <v>142</v>
      </c>
      <c r="E63">
        <v>600</v>
      </c>
      <c r="G63">
        <v>-1196.44</v>
      </c>
      <c r="H63" t="s">
        <v>145</v>
      </c>
      <c r="I63" t="s">
        <v>11</v>
      </c>
      <c r="M63" s="22">
        <f t="shared" si="1"/>
        <v>45115</v>
      </c>
    </row>
    <row r="64" spans="1:13" x14ac:dyDescent="0.3">
      <c r="A64" t="s">
        <v>535</v>
      </c>
      <c r="B64" t="s">
        <v>536</v>
      </c>
      <c r="C64" t="s">
        <v>537</v>
      </c>
      <c r="D64" t="s">
        <v>535</v>
      </c>
      <c r="E64">
        <v>1000</v>
      </c>
      <c r="G64">
        <v>23059.85</v>
      </c>
      <c r="H64" t="s">
        <v>538</v>
      </c>
      <c r="I64" t="s">
        <v>11</v>
      </c>
      <c r="M64" s="22">
        <f t="shared" si="1"/>
        <v>45149</v>
      </c>
    </row>
    <row r="65" spans="1:13" x14ac:dyDescent="0.3">
      <c r="A65" t="s">
        <v>684</v>
      </c>
      <c r="B65" t="s">
        <v>701</v>
      </c>
      <c r="C65" t="s">
        <v>702</v>
      </c>
      <c r="D65" t="s">
        <v>684</v>
      </c>
      <c r="E65">
        <v>250</v>
      </c>
      <c r="G65">
        <v>1199.79</v>
      </c>
      <c r="H65" t="s">
        <v>703</v>
      </c>
      <c r="I65" t="s">
        <v>11</v>
      </c>
      <c r="M65" s="22">
        <f t="shared" si="1"/>
        <v>45157</v>
      </c>
    </row>
    <row r="66" spans="1:13" x14ac:dyDescent="0.3">
      <c r="A66" t="s">
        <v>1260</v>
      </c>
      <c r="B66" t="s">
        <v>1261</v>
      </c>
      <c r="C66" t="s">
        <v>1262</v>
      </c>
      <c r="D66" t="s">
        <v>1260</v>
      </c>
      <c r="E66">
        <v>300</v>
      </c>
      <c r="G66">
        <v>7497.11</v>
      </c>
      <c r="H66" t="s">
        <v>1263</v>
      </c>
      <c r="I66" t="s">
        <v>11</v>
      </c>
      <c r="M66" s="22">
        <f t="shared" si="1"/>
        <v>45192</v>
      </c>
    </row>
    <row r="67" spans="1:13" x14ac:dyDescent="0.3">
      <c r="A67" t="s">
        <v>138</v>
      </c>
      <c r="B67" t="s">
        <v>139</v>
      </c>
      <c r="C67" t="s">
        <v>140</v>
      </c>
      <c r="D67" t="s">
        <v>138</v>
      </c>
      <c r="E67">
        <v>600</v>
      </c>
      <c r="G67">
        <v>-596.44000000000005</v>
      </c>
      <c r="H67" t="s">
        <v>141</v>
      </c>
      <c r="I67" t="s">
        <v>11</v>
      </c>
      <c r="M67" s="22">
        <f t="shared" si="1"/>
        <v>45114</v>
      </c>
    </row>
    <row r="68" spans="1:13" x14ac:dyDescent="0.3">
      <c r="A68" t="s">
        <v>1157</v>
      </c>
      <c r="B68" t="s">
        <v>1164</v>
      </c>
      <c r="C68" t="s">
        <v>1165</v>
      </c>
      <c r="D68" t="s">
        <v>1157</v>
      </c>
      <c r="E68">
        <v>500</v>
      </c>
      <c r="G68">
        <v>5376.35</v>
      </c>
      <c r="H68" t="s">
        <v>1166</v>
      </c>
      <c r="I68" t="s">
        <v>11</v>
      </c>
      <c r="M68" s="22">
        <f t="shared" si="1"/>
        <v>45183</v>
      </c>
    </row>
    <row r="69" spans="1:13" x14ac:dyDescent="0.3">
      <c r="A69" t="s">
        <v>470</v>
      </c>
      <c r="B69" t="s">
        <v>471</v>
      </c>
      <c r="C69" t="s">
        <v>472</v>
      </c>
      <c r="D69" t="s">
        <v>470</v>
      </c>
      <c r="E69">
        <v>30</v>
      </c>
      <c r="G69">
        <v>20544.849999999999</v>
      </c>
      <c r="H69" t="s">
        <v>473</v>
      </c>
      <c r="I69" t="s">
        <v>11</v>
      </c>
      <c r="M69" s="22">
        <f t="shared" si="1"/>
        <v>45143</v>
      </c>
    </row>
    <row r="70" spans="1:13" x14ac:dyDescent="0.3">
      <c r="A70" t="s">
        <v>864</v>
      </c>
      <c r="B70" t="s">
        <v>868</v>
      </c>
      <c r="C70" t="s">
        <v>869</v>
      </c>
      <c r="D70" t="s">
        <v>864</v>
      </c>
      <c r="E70">
        <v>10</v>
      </c>
      <c r="G70">
        <v>419.17</v>
      </c>
      <c r="H70" t="s">
        <v>870</v>
      </c>
      <c r="I70" t="s">
        <v>11</v>
      </c>
      <c r="M70" s="22">
        <f t="shared" si="1"/>
        <v>45159</v>
      </c>
    </row>
    <row r="71" spans="1:13" x14ac:dyDescent="0.3">
      <c r="A71" t="s">
        <v>864</v>
      </c>
      <c r="B71" t="s">
        <v>871</v>
      </c>
      <c r="C71" t="s">
        <v>872</v>
      </c>
      <c r="D71" t="s">
        <v>864</v>
      </c>
      <c r="E71">
        <v>20</v>
      </c>
      <c r="G71">
        <v>399.17</v>
      </c>
      <c r="H71" t="s">
        <v>873</v>
      </c>
      <c r="I71" t="s">
        <v>11</v>
      </c>
      <c r="M71" s="22">
        <f t="shared" si="1"/>
        <v>45159</v>
      </c>
    </row>
    <row r="72" spans="1:13" x14ac:dyDescent="0.3">
      <c r="A72" t="s">
        <v>81</v>
      </c>
      <c r="B72" t="s">
        <v>85</v>
      </c>
      <c r="C72" t="s">
        <v>86</v>
      </c>
      <c r="D72" t="s">
        <v>81</v>
      </c>
      <c r="E72">
        <v>40</v>
      </c>
      <c r="G72">
        <v>23779.96</v>
      </c>
      <c r="H72" t="s">
        <v>87</v>
      </c>
      <c r="I72" t="s">
        <v>11</v>
      </c>
      <c r="M72" s="22">
        <f t="shared" si="1"/>
        <v>45110</v>
      </c>
    </row>
    <row r="73" spans="1:13" x14ac:dyDescent="0.3">
      <c r="A73" t="s">
        <v>81</v>
      </c>
      <c r="B73" t="s">
        <v>88</v>
      </c>
      <c r="C73" t="s">
        <v>89</v>
      </c>
      <c r="D73" t="s">
        <v>81</v>
      </c>
      <c r="E73">
        <v>20</v>
      </c>
      <c r="G73">
        <v>23759.96</v>
      </c>
      <c r="H73" t="s">
        <v>90</v>
      </c>
      <c r="I73" t="s">
        <v>11</v>
      </c>
      <c r="M73" s="22">
        <f t="shared" si="1"/>
        <v>45110</v>
      </c>
    </row>
    <row r="74" spans="1:13" x14ac:dyDescent="0.3">
      <c r="A74" t="s">
        <v>104</v>
      </c>
      <c r="B74" t="s">
        <v>105</v>
      </c>
      <c r="C74" t="s">
        <v>106</v>
      </c>
      <c r="D74" t="s">
        <v>104</v>
      </c>
      <c r="E74">
        <v>10</v>
      </c>
      <c r="G74">
        <v>1003.46</v>
      </c>
      <c r="H74" t="s">
        <v>107</v>
      </c>
      <c r="I74" t="s">
        <v>11</v>
      </c>
      <c r="M74" s="22">
        <f t="shared" si="1"/>
        <v>45112</v>
      </c>
    </row>
    <row r="75" spans="1:13" x14ac:dyDescent="0.3">
      <c r="A75" t="s">
        <v>104</v>
      </c>
      <c r="B75" t="s">
        <v>108</v>
      </c>
      <c r="C75" t="s">
        <v>109</v>
      </c>
      <c r="D75" t="s">
        <v>104</v>
      </c>
      <c r="E75">
        <v>20</v>
      </c>
      <c r="G75">
        <v>983.46</v>
      </c>
      <c r="H75" t="s">
        <v>110</v>
      </c>
      <c r="I75" t="s">
        <v>11</v>
      </c>
      <c r="M75" s="22">
        <f t="shared" si="1"/>
        <v>45112</v>
      </c>
    </row>
    <row r="76" spans="1:13" x14ac:dyDescent="0.3">
      <c r="A76" t="s">
        <v>104</v>
      </c>
      <c r="B76" t="s">
        <v>111</v>
      </c>
      <c r="C76" t="s">
        <v>112</v>
      </c>
      <c r="D76" t="s">
        <v>104</v>
      </c>
      <c r="E76">
        <v>80</v>
      </c>
      <c r="G76">
        <v>903.46</v>
      </c>
      <c r="H76" t="s">
        <v>113</v>
      </c>
      <c r="I76" t="s">
        <v>11</v>
      </c>
      <c r="M76" s="22">
        <f t="shared" si="1"/>
        <v>45112</v>
      </c>
    </row>
    <row r="77" spans="1:13" x14ac:dyDescent="0.3">
      <c r="A77" t="s">
        <v>263</v>
      </c>
      <c r="B77" t="s">
        <v>270</v>
      </c>
      <c r="C77" t="s">
        <v>271</v>
      </c>
      <c r="D77" t="s">
        <v>263</v>
      </c>
      <c r="E77">
        <v>55</v>
      </c>
      <c r="G77">
        <v>9773.56</v>
      </c>
      <c r="H77" t="s">
        <v>272</v>
      </c>
      <c r="I77" t="s">
        <v>11</v>
      </c>
      <c r="M77" s="22">
        <f t="shared" si="1"/>
        <v>45124</v>
      </c>
    </row>
    <row r="78" spans="1:13" x14ac:dyDescent="0.3">
      <c r="A78" t="s">
        <v>722</v>
      </c>
      <c r="B78" t="s">
        <v>726</v>
      </c>
      <c r="C78" t="s">
        <v>727</v>
      </c>
      <c r="D78" t="s">
        <v>722</v>
      </c>
      <c r="E78">
        <v>70</v>
      </c>
      <c r="G78">
        <v>9633.56</v>
      </c>
      <c r="H78" t="s">
        <v>728</v>
      </c>
      <c r="I78" t="s">
        <v>11</v>
      </c>
      <c r="M78" s="22">
        <f t="shared" si="1"/>
        <v>45125</v>
      </c>
    </row>
    <row r="79" spans="1:13" x14ac:dyDescent="0.3">
      <c r="A79" t="s">
        <v>732</v>
      </c>
      <c r="B79" t="s">
        <v>736</v>
      </c>
      <c r="C79" t="s">
        <v>737</v>
      </c>
      <c r="D79" t="s">
        <v>732</v>
      </c>
      <c r="E79">
        <v>60</v>
      </c>
      <c r="G79">
        <v>8043.94</v>
      </c>
      <c r="H79" t="s">
        <v>738</v>
      </c>
      <c r="I79" t="s">
        <v>11</v>
      </c>
      <c r="M79" s="22">
        <f t="shared" si="1"/>
        <v>45126</v>
      </c>
    </row>
    <row r="80" spans="1:13" x14ac:dyDescent="0.3">
      <c r="A80" t="s">
        <v>743</v>
      </c>
      <c r="B80" t="s">
        <v>745</v>
      </c>
      <c r="C80" t="s">
        <v>746</v>
      </c>
      <c r="D80" t="s">
        <v>743</v>
      </c>
      <c r="E80">
        <v>40</v>
      </c>
      <c r="G80">
        <v>5667.94</v>
      </c>
      <c r="H80" t="s">
        <v>747</v>
      </c>
      <c r="I80" t="s">
        <v>11</v>
      </c>
      <c r="M80" s="22">
        <f t="shared" si="1"/>
        <v>45127</v>
      </c>
    </row>
    <row r="81" spans="1:13" x14ac:dyDescent="0.3">
      <c r="A81" t="s">
        <v>1032</v>
      </c>
      <c r="B81" t="s">
        <v>1045</v>
      </c>
      <c r="C81" t="s">
        <v>1046</v>
      </c>
      <c r="D81" t="s">
        <v>1032</v>
      </c>
      <c r="E81">
        <v>40</v>
      </c>
      <c r="G81">
        <v>18116.169999999998</v>
      </c>
      <c r="H81" t="s">
        <v>1047</v>
      </c>
      <c r="I81" t="s">
        <v>11</v>
      </c>
      <c r="M81" s="22">
        <f t="shared" si="1"/>
        <v>45173</v>
      </c>
    </row>
    <row r="82" spans="1:13" x14ac:dyDescent="0.3">
      <c r="A82" t="s">
        <v>1032</v>
      </c>
      <c r="B82" t="s">
        <v>1057</v>
      </c>
      <c r="C82" t="s">
        <v>1058</v>
      </c>
      <c r="D82" t="s">
        <v>1032</v>
      </c>
      <c r="E82">
        <v>80</v>
      </c>
      <c r="G82">
        <v>20419.169999999998</v>
      </c>
      <c r="H82" t="s">
        <v>1059</v>
      </c>
      <c r="I82" t="s">
        <v>11</v>
      </c>
      <c r="M82" s="22">
        <f t="shared" si="1"/>
        <v>45173</v>
      </c>
    </row>
    <row r="83" spans="1:13" x14ac:dyDescent="0.3">
      <c r="A83" t="s">
        <v>605</v>
      </c>
      <c r="B83" t="s">
        <v>606</v>
      </c>
      <c r="C83" t="s">
        <v>607</v>
      </c>
      <c r="D83" t="s">
        <v>605</v>
      </c>
      <c r="E83">
        <v>40</v>
      </c>
      <c r="G83">
        <v>6192.79</v>
      </c>
      <c r="H83" t="s">
        <v>608</v>
      </c>
      <c r="I83" t="s">
        <v>11</v>
      </c>
      <c r="M83" s="22">
        <f t="shared" si="1"/>
        <v>45152</v>
      </c>
    </row>
    <row r="84" spans="1:13" x14ac:dyDescent="0.3">
      <c r="A84" t="s">
        <v>1292</v>
      </c>
      <c r="B84" t="s">
        <v>1296</v>
      </c>
      <c r="C84" t="s">
        <v>1297</v>
      </c>
      <c r="D84" t="s">
        <v>1292</v>
      </c>
      <c r="F84">
        <v>442</v>
      </c>
      <c r="G84">
        <v>4657.1099999999997</v>
      </c>
      <c r="H84" t="s">
        <v>1298</v>
      </c>
      <c r="I84" t="s">
        <v>11</v>
      </c>
      <c r="M84" s="22">
        <f t="shared" ref="M84:M140" si="2">IFERROR(DATEVALUE(A84),"")</f>
        <v>45195</v>
      </c>
    </row>
    <row r="85" spans="1:13" x14ac:dyDescent="0.3">
      <c r="A85" t="s">
        <v>1219</v>
      </c>
      <c r="B85" t="s">
        <v>1346</v>
      </c>
      <c r="C85" t="s">
        <v>1226</v>
      </c>
      <c r="D85" t="s">
        <v>1219</v>
      </c>
      <c r="F85">
        <v>2900</v>
      </c>
      <c r="G85">
        <v>3573.25</v>
      </c>
      <c r="H85" t="s">
        <v>1227</v>
      </c>
      <c r="I85" t="s">
        <v>11</v>
      </c>
      <c r="M85" s="22">
        <f t="shared" si="2"/>
        <v>45189</v>
      </c>
    </row>
    <row r="86" spans="1:13" x14ac:dyDescent="0.3">
      <c r="A86" t="s">
        <v>1219</v>
      </c>
      <c r="B86" t="s">
        <v>1346</v>
      </c>
      <c r="C86" t="s">
        <v>1228</v>
      </c>
      <c r="D86" t="s">
        <v>1219</v>
      </c>
      <c r="E86">
        <v>2900</v>
      </c>
      <c r="G86">
        <v>673.25</v>
      </c>
      <c r="H86" t="s">
        <v>1229</v>
      </c>
      <c r="I86" t="s">
        <v>11</v>
      </c>
      <c r="M86" s="22">
        <f t="shared" si="2"/>
        <v>45189</v>
      </c>
    </row>
    <row r="87" spans="1:13" x14ac:dyDescent="0.3">
      <c r="A87" t="s">
        <v>1282</v>
      </c>
      <c r="B87" t="s">
        <v>1289</v>
      </c>
      <c r="C87" t="s">
        <v>1290</v>
      </c>
      <c r="D87" t="s">
        <v>1282</v>
      </c>
      <c r="F87">
        <v>1482</v>
      </c>
      <c r="G87">
        <v>4229.1099999999997</v>
      </c>
      <c r="H87" t="s">
        <v>1291</v>
      </c>
      <c r="I87" t="s">
        <v>11</v>
      </c>
      <c r="M87" s="22">
        <f t="shared" si="2"/>
        <v>45194</v>
      </c>
    </row>
    <row r="88" spans="1:13" x14ac:dyDescent="0.3">
      <c r="A88" t="s">
        <v>42</v>
      </c>
      <c r="B88" t="s">
        <v>56</v>
      </c>
      <c r="C88" t="s">
        <v>57</v>
      </c>
      <c r="D88" t="s">
        <v>42</v>
      </c>
      <c r="E88">
        <v>8484</v>
      </c>
      <c r="G88">
        <v>46071.01</v>
      </c>
      <c r="H88" t="s">
        <v>58</v>
      </c>
      <c r="I88" t="s">
        <v>11</v>
      </c>
      <c r="M88" s="22">
        <f t="shared" si="2"/>
        <v>45108</v>
      </c>
    </row>
    <row r="89" spans="1:13" x14ac:dyDescent="0.3">
      <c r="A89" t="s">
        <v>654</v>
      </c>
      <c r="B89" s="23" t="s">
        <v>668</v>
      </c>
      <c r="C89" t="s">
        <v>669</v>
      </c>
      <c r="D89" t="s">
        <v>654</v>
      </c>
      <c r="E89">
        <v>5000</v>
      </c>
      <c r="G89">
        <v>2029.79</v>
      </c>
      <c r="H89" t="s">
        <v>670</v>
      </c>
      <c r="I89" t="s">
        <v>11</v>
      </c>
      <c r="M89" s="22">
        <f t="shared" si="2"/>
        <v>45155</v>
      </c>
    </row>
    <row r="90" spans="1:13" x14ac:dyDescent="0.3">
      <c r="A90" t="s">
        <v>1032</v>
      </c>
      <c r="B90" t="s">
        <v>1042</v>
      </c>
      <c r="C90" t="s">
        <v>1043</v>
      </c>
      <c r="D90" t="s">
        <v>1032</v>
      </c>
      <c r="E90">
        <v>1000</v>
      </c>
      <c r="G90">
        <v>18156.169999999998</v>
      </c>
      <c r="H90" t="s">
        <v>1044</v>
      </c>
      <c r="I90" t="s">
        <v>11</v>
      </c>
      <c r="M90" s="22">
        <f t="shared" si="2"/>
        <v>45173</v>
      </c>
    </row>
    <row r="91" spans="1:13" x14ac:dyDescent="0.3">
      <c r="A91" t="s">
        <v>1032</v>
      </c>
      <c r="B91" t="s">
        <v>1048</v>
      </c>
      <c r="C91" t="s">
        <v>1049</v>
      </c>
      <c r="D91" t="s">
        <v>1032</v>
      </c>
      <c r="E91">
        <v>35</v>
      </c>
      <c r="G91">
        <v>18081.169999999998</v>
      </c>
      <c r="H91" t="s">
        <v>1050</v>
      </c>
      <c r="I91" t="s">
        <v>11</v>
      </c>
      <c r="M91" s="22">
        <f t="shared" si="2"/>
        <v>45173</v>
      </c>
    </row>
    <row r="92" spans="1:13" x14ac:dyDescent="0.3">
      <c r="A92" t="s">
        <v>1292</v>
      </c>
      <c r="B92" t="s">
        <v>1299</v>
      </c>
      <c r="C92" t="s">
        <v>1300</v>
      </c>
      <c r="D92" t="s">
        <v>1292</v>
      </c>
      <c r="E92">
        <v>33</v>
      </c>
      <c r="G92">
        <v>4624.1099999999997</v>
      </c>
      <c r="H92" t="s">
        <v>1301</v>
      </c>
      <c r="I92" t="s">
        <v>11</v>
      </c>
      <c r="M92" s="22">
        <f t="shared" si="2"/>
        <v>45195</v>
      </c>
    </row>
    <row r="93" spans="1:13" x14ac:dyDescent="0.3">
      <c r="A93" t="s">
        <v>1319</v>
      </c>
      <c r="B93" t="s">
        <v>1323</v>
      </c>
      <c r="C93" t="s">
        <v>1324</v>
      </c>
      <c r="D93" t="s">
        <v>1319</v>
      </c>
      <c r="E93">
        <v>1500</v>
      </c>
      <c r="G93">
        <v>55963.11</v>
      </c>
      <c r="H93" t="s">
        <v>1325</v>
      </c>
      <c r="I93" t="s">
        <v>11</v>
      </c>
      <c r="M93" s="22">
        <f t="shared" si="2"/>
        <v>45198</v>
      </c>
    </row>
    <row r="94" spans="1:13" x14ac:dyDescent="0.3">
      <c r="A94" t="s">
        <v>684</v>
      </c>
      <c r="B94" t="s">
        <v>687</v>
      </c>
      <c r="C94" t="s">
        <v>688</v>
      </c>
      <c r="D94" t="s">
        <v>684</v>
      </c>
      <c r="E94">
        <v>30</v>
      </c>
      <c r="G94">
        <v>2039.79</v>
      </c>
      <c r="H94" t="s">
        <v>689</v>
      </c>
      <c r="I94" t="s">
        <v>11</v>
      </c>
      <c r="M94" s="22">
        <f t="shared" si="2"/>
        <v>45157</v>
      </c>
    </row>
    <row r="95" spans="1:13" x14ac:dyDescent="0.3">
      <c r="A95" t="s">
        <v>580</v>
      </c>
      <c r="B95" t="s">
        <v>593</v>
      </c>
      <c r="C95" t="s">
        <v>594</v>
      </c>
      <c r="D95" t="s">
        <v>580</v>
      </c>
      <c r="E95">
        <v>400</v>
      </c>
      <c r="G95">
        <v>6553.79</v>
      </c>
      <c r="H95" t="s">
        <v>595</v>
      </c>
      <c r="I95" t="s">
        <v>11</v>
      </c>
      <c r="M95" s="22">
        <f t="shared" si="2"/>
        <v>45151</v>
      </c>
    </row>
    <row r="96" spans="1:13" x14ac:dyDescent="0.3">
      <c r="A96" t="s">
        <v>1095</v>
      </c>
      <c r="B96" t="s">
        <v>1102</v>
      </c>
      <c r="C96" t="s">
        <v>1103</v>
      </c>
      <c r="D96" t="s">
        <v>1104</v>
      </c>
      <c r="E96">
        <v>284</v>
      </c>
      <c r="G96">
        <v>8831.35</v>
      </c>
      <c r="H96" t="s">
        <v>1105</v>
      </c>
      <c r="I96" t="s">
        <v>11</v>
      </c>
      <c r="M96" s="22">
        <f t="shared" si="2"/>
        <v>45177</v>
      </c>
    </row>
    <row r="97" spans="1:13" x14ac:dyDescent="0.3">
      <c r="A97" t="s">
        <v>1282</v>
      </c>
      <c r="B97" t="s">
        <v>1286</v>
      </c>
      <c r="C97" t="s">
        <v>1287</v>
      </c>
      <c r="D97" t="s">
        <v>1282</v>
      </c>
      <c r="E97">
        <v>30</v>
      </c>
      <c r="G97">
        <v>2747.11</v>
      </c>
      <c r="H97" t="s">
        <v>1288</v>
      </c>
      <c r="I97" t="s">
        <v>11</v>
      </c>
      <c r="M97" s="22">
        <f t="shared" si="2"/>
        <v>45194</v>
      </c>
    </row>
    <row r="98" spans="1:13" x14ac:dyDescent="0.3">
      <c r="A98" t="s">
        <v>39</v>
      </c>
      <c r="B98" t="s">
        <v>40</v>
      </c>
      <c r="C98" t="s">
        <v>41</v>
      </c>
      <c r="D98" t="s">
        <v>42</v>
      </c>
      <c r="E98">
        <v>1195.8399999999999</v>
      </c>
      <c r="G98">
        <v>56301.01</v>
      </c>
      <c r="H98" t="s">
        <v>43</v>
      </c>
      <c r="I98" t="s">
        <v>11</v>
      </c>
      <c r="M98" s="22">
        <f t="shared" si="2"/>
        <v>45107</v>
      </c>
    </row>
    <row r="99" spans="1:13" x14ac:dyDescent="0.3">
      <c r="A99" t="s">
        <v>580</v>
      </c>
      <c r="B99" t="s">
        <v>581</v>
      </c>
      <c r="C99" t="s">
        <v>582</v>
      </c>
      <c r="D99" t="s">
        <v>580</v>
      </c>
      <c r="E99">
        <v>1161.06</v>
      </c>
      <c r="G99">
        <v>20708.79</v>
      </c>
      <c r="H99" t="s">
        <v>583</v>
      </c>
      <c r="I99" t="s">
        <v>11</v>
      </c>
      <c r="M99" s="22">
        <f t="shared" si="2"/>
        <v>45151</v>
      </c>
    </row>
    <row r="100" spans="1:13" x14ac:dyDescent="0.3">
      <c r="A100" t="s">
        <v>1066</v>
      </c>
      <c r="B100" t="s">
        <v>1073</v>
      </c>
      <c r="C100" t="s">
        <v>1074</v>
      </c>
      <c r="D100" t="s">
        <v>1066</v>
      </c>
      <c r="F100">
        <v>359</v>
      </c>
      <c r="G100">
        <v>18071.669999999998</v>
      </c>
      <c r="H100" t="s">
        <v>1075</v>
      </c>
      <c r="I100" t="s">
        <v>11</v>
      </c>
      <c r="M100" s="22">
        <f t="shared" si="2"/>
        <v>45174</v>
      </c>
    </row>
    <row r="101" spans="1:13" x14ac:dyDescent="0.3">
      <c r="A101" t="s">
        <v>1032</v>
      </c>
      <c r="B101" t="s">
        <v>1063</v>
      </c>
      <c r="C101" t="s">
        <v>1064</v>
      </c>
      <c r="D101" t="s">
        <v>1032</v>
      </c>
      <c r="E101">
        <v>1856</v>
      </c>
      <c r="G101">
        <v>18280.169999999998</v>
      </c>
      <c r="H101" t="s">
        <v>1065</v>
      </c>
      <c r="I101" t="s">
        <v>11</v>
      </c>
      <c r="M101" s="22">
        <f t="shared" si="2"/>
        <v>45173</v>
      </c>
    </row>
    <row r="102" spans="1:13" x14ac:dyDescent="0.3">
      <c r="A102" t="s">
        <v>1066</v>
      </c>
      <c r="B102" t="s">
        <v>1070</v>
      </c>
      <c r="C102" t="s">
        <v>1071</v>
      </c>
      <c r="D102" t="s">
        <v>1066</v>
      </c>
      <c r="E102">
        <v>599</v>
      </c>
      <c r="G102">
        <v>17712.669999999998</v>
      </c>
      <c r="H102" t="s">
        <v>1072</v>
      </c>
      <c r="I102" t="s">
        <v>11</v>
      </c>
      <c r="M102" s="22">
        <f t="shared" si="2"/>
        <v>45174</v>
      </c>
    </row>
    <row r="103" spans="1:13" x14ac:dyDescent="0.3">
      <c r="A103" t="s">
        <v>242</v>
      </c>
      <c r="B103" t="s">
        <v>249</v>
      </c>
      <c r="C103" t="s">
        <v>250</v>
      </c>
      <c r="D103" t="s">
        <v>242</v>
      </c>
      <c r="E103">
        <v>36000</v>
      </c>
      <c r="G103">
        <v>11822.56</v>
      </c>
      <c r="H103" t="s">
        <v>251</v>
      </c>
      <c r="I103" t="s">
        <v>11</v>
      </c>
      <c r="M103" s="22">
        <f t="shared" si="2"/>
        <v>45119</v>
      </c>
    </row>
    <row r="104" spans="1:13" x14ac:dyDescent="0.3">
      <c r="A104" t="s">
        <v>566</v>
      </c>
      <c r="B104" t="s">
        <v>572</v>
      </c>
      <c r="C104" t="s">
        <v>573</v>
      </c>
      <c r="D104" t="s">
        <v>566</v>
      </c>
      <c r="E104">
        <v>36000</v>
      </c>
      <c r="G104">
        <v>22061.85</v>
      </c>
      <c r="H104" t="s">
        <v>574</v>
      </c>
      <c r="I104" t="s">
        <v>11</v>
      </c>
      <c r="M104" s="22">
        <f t="shared" si="2"/>
        <v>45150</v>
      </c>
    </row>
    <row r="105" spans="1:13" x14ac:dyDescent="0.3">
      <c r="A105" t="s">
        <v>1121</v>
      </c>
      <c r="B105" t="s">
        <v>1127</v>
      </c>
      <c r="C105" t="s">
        <v>1128</v>
      </c>
      <c r="D105" t="s">
        <v>1121</v>
      </c>
      <c r="E105">
        <v>36000</v>
      </c>
      <c r="G105">
        <v>11372.35</v>
      </c>
      <c r="H105" t="s">
        <v>1129</v>
      </c>
      <c r="I105" t="s">
        <v>11</v>
      </c>
      <c r="M105" s="22">
        <f t="shared" si="2"/>
        <v>45181</v>
      </c>
    </row>
    <row r="106" spans="1:13" x14ac:dyDescent="0.3">
      <c r="A106" t="s">
        <v>1130</v>
      </c>
      <c r="B106" t="s">
        <v>1149</v>
      </c>
      <c r="C106" t="s">
        <v>1150</v>
      </c>
      <c r="D106" t="s">
        <v>1130</v>
      </c>
      <c r="E106">
        <v>2222</v>
      </c>
      <c r="G106">
        <v>8927.35</v>
      </c>
      <c r="H106" t="s">
        <v>1151</v>
      </c>
      <c r="I106" t="s">
        <v>11</v>
      </c>
      <c r="M106" s="22">
        <f t="shared" si="2"/>
        <v>45182</v>
      </c>
    </row>
    <row r="107" spans="1:13" x14ac:dyDescent="0.3">
      <c r="A107" t="s">
        <v>1332</v>
      </c>
      <c r="B107" t="s">
        <v>1336</v>
      </c>
      <c r="C107" t="s">
        <v>1337</v>
      </c>
      <c r="D107" t="s">
        <v>1332</v>
      </c>
      <c r="E107">
        <v>58</v>
      </c>
      <c r="G107">
        <v>55267.46</v>
      </c>
      <c r="H107" t="s">
        <v>1338</v>
      </c>
      <c r="I107" t="s">
        <v>11</v>
      </c>
      <c r="M107" s="22">
        <f t="shared" si="2"/>
        <v>45199</v>
      </c>
    </row>
    <row r="108" spans="1:13" x14ac:dyDescent="0.3">
      <c r="A108" t="s">
        <v>864</v>
      </c>
      <c r="B108" t="s">
        <v>874</v>
      </c>
      <c r="C108" t="s">
        <v>875</v>
      </c>
      <c r="D108" t="s">
        <v>864</v>
      </c>
      <c r="E108">
        <v>70</v>
      </c>
      <c r="G108">
        <v>329.17</v>
      </c>
      <c r="H108" t="s">
        <v>876</v>
      </c>
      <c r="I108" t="s">
        <v>11</v>
      </c>
      <c r="M108" s="22">
        <f t="shared" si="2"/>
        <v>45159</v>
      </c>
    </row>
    <row r="109" spans="1:13" x14ac:dyDescent="0.3">
      <c r="A109" t="s">
        <v>1230</v>
      </c>
      <c r="B109" t="s">
        <v>1237</v>
      </c>
      <c r="C109" t="s">
        <v>1238</v>
      </c>
      <c r="D109" t="s">
        <v>1230</v>
      </c>
      <c r="F109">
        <v>70</v>
      </c>
      <c r="G109">
        <v>855.11</v>
      </c>
      <c r="H109" t="s">
        <v>1239</v>
      </c>
      <c r="I109" t="s">
        <v>11</v>
      </c>
      <c r="M109" s="22">
        <f t="shared" si="2"/>
        <v>45190</v>
      </c>
    </row>
    <row r="110" spans="1:13" x14ac:dyDescent="0.3">
      <c r="A110" t="s">
        <v>684</v>
      </c>
      <c r="B110" t="s">
        <v>698</v>
      </c>
      <c r="C110" t="s">
        <v>699</v>
      </c>
      <c r="D110" t="s">
        <v>684</v>
      </c>
      <c r="F110">
        <v>535</v>
      </c>
      <c r="G110">
        <v>1449.79</v>
      </c>
      <c r="H110" t="s">
        <v>700</v>
      </c>
      <c r="I110" t="s">
        <v>11</v>
      </c>
      <c r="M110" s="22">
        <f t="shared" si="2"/>
        <v>45157</v>
      </c>
    </row>
    <row r="111" spans="1:13" x14ac:dyDescent="0.3">
      <c r="A111" t="s">
        <v>1032</v>
      </c>
      <c r="B111" t="s">
        <v>1036</v>
      </c>
      <c r="C111" t="s">
        <v>1037</v>
      </c>
      <c r="D111" t="s">
        <v>1032</v>
      </c>
      <c r="F111">
        <v>400</v>
      </c>
      <c r="G111">
        <v>19576.169999999998</v>
      </c>
      <c r="H111" t="s">
        <v>1038</v>
      </c>
      <c r="I111" t="s">
        <v>11</v>
      </c>
      <c r="M111" s="22">
        <f t="shared" si="2"/>
        <v>45173</v>
      </c>
    </row>
    <row r="112" spans="1:13" x14ac:dyDescent="0.3">
      <c r="A112" t="s">
        <v>942</v>
      </c>
      <c r="B112" t="s">
        <v>946</v>
      </c>
      <c r="C112" t="s">
        <v>947</v>
      </c>
      <c r="D112" t="s">
        <v>942</v>
      </c>
      <c r="E112">
        <v>52</v>
      </c>
      <c r="G112">
        <v>2958.17</v>
      </c>
      <c r="H112" t="s">
        <v>948</v>
      </c>
      <c r="I112" t="s">
        <v>11</v>
      </c>
      <c r="M112" s="22">
        <f t="shared" si="2"/>
        <v>45165</v>
      </c>
    </row>
    <row r="113" spans="1:13" x14ac:dyDescent="0.3">
      <c r="A113" t="s">
        <v>971</v>
      </c>
      <c r="B113" t="s">
        <v>984</v>
      </c>
      <c r="C113" t="s">
        <v>985</v>
      </c>
      <c r="D113" t="s">
        <v>971</v>
      </c>
      <c r="F113">
        <v>4</v>
      </c>
      <c r="G113">
        <v>886.17</v>
      </c>
      <c r="H113" t="s">
        <v>986</v>
      </c>
      <c r="I113" t="s">
        <v>11</v>
      </c>
      <c r="M113" s="22">
        <f t="shared" si="2"/>
        <v>45167</v>
      </c>
    </row>
    <row r="114" spans="1:13" x14ac:dyDescent="0.3">
      <c r="A114" t="s">
        <v>994</v>
      </c>
      <c r="B114" t="s">
        <v>997</v>
      </c>
      <c r="C114" t="s">
        <v>998</v>
      </c>
      <c r="D114" t="s">
        <v>994</v>
      </c>
      <c r="F114">
        <v>3</v>
      </c>
      <c r="G114">
        <v>35349.17</v>
      </c>
      <c r="H114" t="s">
        <v>999</v>
      </c>
      <c r="I114" t="s">
        <v>11</v>
      </c>
      <c r="M114" s="22">
        <f t="shared" si="2"/>
        <v>45169</v>
      </c>
    </row>
    <row r="115" spans="1:13" x14ac:dyDescent="0.3">
      <c r="A115" t="s">
        <v>1130</v>
      </c>
      <c r="B115" t="s">
        <v>1146</v>
      </c>
      <c r="C115" t="s">
        <v>1147</v>
      </c>
      <c r="D115" t="s">
        <v>1130</v>
      </c>
      <c r="E115">
        <v>70</v>
      </c>
      <c r="G115">
        <v>10039.35</v>
      </c>
      <c r="H115" t="s">
        <v>1148</v>
      </c>
      <c r="I115" t="s">
        <v>11</v>
      </c>
      <c r="M115" s="22">
        <f t="shared" si="2"/>
        <v>45182</v>
      </c>
    </row>
    <row r="116" spans="1:13" x14ac:dyDescent="0.3">
      <c r="A116" t="s">
        <v>470</v>
      </c>
      <c r="B116" t="s">
        <v>478</v>
      </c>
      <c r="C116" t="s">
        <v>479</v>
      </c>
      <c r="D116" t="s">
        <v>470</v>
      </c>
      <c r="E116">
        <v>147</v>
      </c>
      <c r="G116">
        <v>21730.85</v>
      </c>
      <c r="H116" t="s">
        <v>480</v>
      </c>
      <c r="I116" t="s">
        <v>11</v>
      </c>
      <c r="M116" s="22">
        <f t="shared" si="2"/>
        <v>45143</v>
      </c>
    </row>
    <row r="117" spans="1:13" x14ac:dyDescent="0.3">
      <c r="A117" t="s">
        <v>535</v>
      </c>
      <c r="B117" t="s">
        <v>539</v>
      </c>
      <c r="C117" t="s">
        <v>540</v>
      </c>
      <c r="D117" t="s">
        <v>535</v>
      </c>
      <c r="E117">
        <v>120</v>
      </c>
      <c r="G117">
        <v>22939.85</v>
      </c>
      <c r="H117" t="s">
        <v>541</v>
      </c>
      <c r="I117" t="s">
        <v>11</v>
      </c>
      <c r="M117" s="22">
        <f t="shared" si="2"/>
        <v>45149</v>
      </c>
    </row>
    <row r="118" spans="1:13" x14ac:dyDescent="0.3">
      <c r="A118" t="s">
        <v>849</v>
      </c>
      <c r="B118" t="s">
        <v>857</v>
      </c>
      <c r="C118" t="s">
        <v>858</v>
      </c>
      <c r="D118" t="s">
        <v>849</v>
      </c>
      <c r="E118">
        <v>153</v>
      </c>
      <c r="G118">
        <v>712.79</v>
      </c>
      <c r="H118" t="s">
        <v>859</v>
      </c>
      <c r="I118" t="s">
        <v>11</v>
      </c>
      <c r="M118" s="22">
        <f t="shared" si="2"/>
        <v>45158</v>
      </c>
    </row>
    <row r="119" spans="1:13" x14ac:dyDescent="0.3">
      <c r="A119" t="s">
        <v>918</v>
      </c>
      <c r="B119" t="s">
        <v>919</v>
      </c>
      <c r="C119" t="s">
        <v>920</v>
      </c>
      <c r="D119" t="s">
        <v>918</v>
      </c>
      <c r="E119">
        <v>325</v>
      </c>
      <c r="G119">
        <v>4342.17</v>
      </c>
      <c r="H119" t="s">
        <v>921</v>
      </c>
      <c r="I119" t="s">
        <v>11</v>
      </c>
      <c r="M119" s="22">
        <f t="shared" si="2"/>
        <v>45162</v>
      </c>
    </row>
    <row r="120" spans="1:13" x14ac:dyDescent="0.3">
      <c r="A120" t="s">
        <v>987</v>
      </c>
      <c r="B120" t="s">
        <v>988</v>
      </c>
      <c r="C120" t="s">
        <v>989</v>
      </c>
      <c r="D120" t="s">
        <v>987</v>
      </c>
      <c r="E120">
        <v>235</v>
      </c>
      <c r="G120">
        <v>651.16999999999996</v>
      </c>
      <c r="H120" t="s">
        <v>990</v>
      </c>
      <c r="I120" t="s">
        <v>11</v>
      </c>
      <c r="M120" s="22">
        <f t="shared" si="2"/>
        <v>45168</v>
      </c>
    </row>
    <row r="121" spans="1:13" x14ac:dyDescent="0.3">
      <c r="A121" t="s">
        <v>1205</v>
      </c>
      <c r="B121" t="s">
        <v>1210</v>
      </c>
      <c r="C121" t="s">
        <v>1211</v>
      </c>
      <c r="D121" t="s">
        <v>1205</v>
      </c>
      <c r="E121">
        <v>189</v>
      </c>
      <c r="G121">
        <v>1221.25</v>
      </c>
      <c r="H121" t="s">
        <v>1212</v>
      </c>
      <c r="I121" t="s">
        <v>11</v>
      </c>
      <c r="M121" s="22">
        <f t="shared" si="2"/>
        <v>45188</v>
      </c>
    </row>
    <row r="122" spans="1:13" x14ac:dyDescent="0.3">
      <c r="A122" t="s">
        <v>1205</v>
      </c>
      <c r="B122" t="s">
        <v>1213</v>
      </c>
      <c r="C122" t="s">
        <v>1214</v>
      </c>
      <c r="D122" t="s">
        <v>1205</v>
      </c>
      <c r="E122">
        <v>65</v>
      </c>
      <c r="G122">
        <v>1156.25</v>
      </c>
      <c r="H122" t="s">
        <v>1215</v>
      </c>
      <c r="I122" t="s">
        <v>11</v>
      </c>
      <c r="M122" s="22">
        <f t="shared" si="2"/>
        <v>45188</v>
      </c>
    </row>
    <row r="123" spans="1:13" x14ac:dyDescent="0.3">
      <c r="A123" t="s">
        <v>1205</v>
      </c>
      <c r="B123" t="s">
        <v>1216</v>
      </c>
      <c r="C123" t="s">
        <v>1217</v>
      </c>
      <c r="D123" t="s">
        <v>1205</v>
      </c>
      <c r="E123">
        <v>168</v>
      </c>
      <c r="G123">
        <v>988.25</v>
      </c>
      <c r="H123" t="s">
        <v>1218</v>
      </c>
      <c r="I123" t="s">
        <v>11</v>
      </c>
      <c r="M123" s="22">
        <f t="shared" si="2"/>
        <v>45188</v>
      </c>
    </row>
    <row r="124" spans="1:13" x14ac:dyDescent="0.3">
      <c r="A124" t="s">
        <v>104</v>
      </c>
      <c r="B124" t="s">
        <v>114</v>
      </c>
      <c r="C124" t="s">
        <v>115</v>
      </c>
      <c r="D124" t="s">
        <v>104</v>
      </c>
      <c r="E124">
        <v>223</v>
      </c>
      <c r="G124">
        <v>6459.46</v>
      </c>
      <c r="H124" t="s">
        <v>116</v>
      </c>
      <c r="I124" t="s">
        <v>11</v>
      </c>
      <c r="M124" s="22">
        <f t="shared" si="2"/>
        <v>45112</v>
      </c>
    </row>
    <row r="125" spans="1:13" x14ac:dyDescent="0.3">
      <c r="A125" t="s">
        <v>781</v>
      </c>
      <c r="B125" t="s">
        <v>785</v>
      </c>
      <c r="C125" t="s">
        <v>786</v>
      </c>
      <c r="D125" t="s">
        <v>781</v>
      </c>
      <c r="E125">
        <v>1</v>
      </c>
      <c r="G125">
        <v>3814.94</v>
      </c>
      <c r="H125" t="s">
        <v>787</v>
      </c>
      <c r="I125" t="s">
        <v>11</v>
      </c>
      <c r="M125" s="22">
        <f t="shared" si="2"/>
        <v>45132</v>
      </c>
    </row>
    <row r="126" spans="1:13" x14ac:dyDescent="0.3">
      <c r="A126" t="s">
        <v>1219</v>
      </c>
      <c r="B126" t="s">
        <v>1223</v>
      </c>
      <c r="C126" t="s">
        <v>1224</v>
      </c>
      <c r="D126" t="s">
        <v>1219</v>
      </c>
      <c r="E126">
        <v>70</v>
      </c>
      <c r="G126">
        <v>673.25</v>
      </c>
      <c r="H126" t="s">
        <v>1225</v>
      </c>
      <c r="I126" t="s">
        <v>11</v>
      </c>
      <c r="M126" s="22">
        <f t="shared" si="2"/>
        <v>45189</v>
      </c>
    </row>
    <row r="127" spans="1:13" x14ac:dyDescent="0.3">
      <c r="A127" t="s">
        <v>1230</v>
      </c>
      <c r="B127" t="s">
        <v>1234</v>
      </c>
      <c r="C127" t="s">
        <v>1235</v>
      </c>
      <c r="D127" t="s">
        <v>1230</v>
      </c>
      <c r="E127">
        <v>210</v>
      </c>
      <c r="G127">
        <v>785.11</v>
      </c>
      <c r="H127" t="s">
        <v>1236</v>
      </c>
      <c r="I127" t="s">
        <v>11</v>
      </c>
      <c r="M127" s="22">
        <f t="shared" si="2"/>
        <v>45190</v>
      </c>
    </row>
    <row r="128" spans="1:13" x14ac:dyDescent="0.3">
      <c r="A128" t="s">
        <v>81</v>
      </c>
      <c r="B128" t="s">
        <v>94</v>
      </c>
      <c r="C128" t="s">
        <v>95</v>
      </c>
      <c r="D128" t="s">
        <v>81</v>
      </c>
      <c r="E128">
        <v>70</v>
      </c>
      <c r="G128">
        <v>23707.46</v>
      </c>
      <c r="H128" t="s">
        <v>96</v>
      </c>
      <c r="I128" t="s">
        <v>11</v>
      </c>
      <c r="M128" s="22">
        <f t="shared" si="2"/>
        <v>45110</v>
      </c>
    </row>
    <row r="129" spans="1:13" x14ac:dyDescent="0.3">
      <c r="A129" t="s">
        <v>100</v>
      </c>
      <c r="B129" t="s">
        <v>101</v>
      </c>
      <c r="C129" t="s">
        <v>102</v>
      </c>
      <c r="D129" t="s">
        <v>100</v>
      </c>
      <c r="E129">
        <v>70</v>
      </c>
      <c r="G129">
        <v>1013.46</v>
      </c>
      <c r="H129" t="s">
        <v>103</v>
      </c>
      <c r="I129" t="s">
        <v>11</v>
      </c>
      <c r="M129" s="22">
        <f t="shared" si="2"/>
        <v>45111</v>
      </c>
    </row>
    <row r="130" spans="1:13" x14ac:dyDescent="0.3">
      <c r="A130" t="s">
        <v>121</v>
      </c>
      <c r="B130" t="s">
        <v>129</v>
      </c>
      <c r="C130" t="s">
        <v>130</v>
      </c>
      <c r="D130" t="s">
        <v>121</v>
      </c>
      <c r="E130">
        <v>70</v>
      </c>
      <c r="G130">
        <v>1714.56</v>
      </c>
      <c r="H130" t="s">
        <v>131</v>
      </c>
      <c r="I130" t="s">
        <v>11</v>
      </c>
      <c r="M130" s="22">
        <f t="shared" si="2"/>
        <v>45113</v>
      </c>
    </row>
    <row r="131" spans="1:13" x14ac:dyDescent="0.3">
      <c r="A131" t="s">
        <v>263</v>
      </c>
      <c r="B131" t="s">
        <v>267</v>
      </c>
      <c r="C131" t="s">
        <v>268</v>
      </c>
      <c r="D131" t="s">
        <v>263</v>
      </c>
      <c r="E131">
        <v>70</v>
      </c>
      <c r="G131">
        <v>9828.56</v>
      </c>
      <c r="H131" t="s">
        <v>269</v>
      </c>
      <c r="I131" t="s">
        <v>11</v>
      </c>
      <c r="M131" s="22">
        <f t="shared" si="2"/>
        <v>45124</v>
      </c>
    </row>
    <row r="132" spans="1:13" x14ac:dyDescent="0.3">
      <c r="A132" t="s">
        <v>722</v>
      </c>
      <c r="B132" t="s">
        <v>723</v>
      </c>
      <c r="C132" t="s">
        <v>724</v>
      </c>
      <c r="D132" t="s">
        <v>722</v>
      </c>
      <c r="E132">
        <v>70</v>
      </c>
      <c r="G132">
        <v>9703.56</v>
      </c>
      <c r="H132" t="s">
        <v>725</v>
      </c>
      <c r="I132" t="s">
        <v>11</v>
      </c>
      <c r="M132" s="22">
        <f t="shared" si="2"/>
        <v>45125</v>
      </c>
    </row>
    <row r="133" spans="1:13" x14ac:dyDescent="0.3">
      <c r="A133" t="s">
        <v>487</v>
      </c>
      <c r="B133" t="s">
        <v>494</v>
      </c>
      <c r="C133" t="s">
        <v>495</v>
      </c>
      <c r="D133" t="s">
        <v>487</v>
      </c>
      <c r="E133">
        <v>70</v>
      </c>
      <c r="G133">
        <v>21068.85</v>
      </c>
      <c r="H133" t="s">
        <v>496</v>
      </c>
      <c r="I133" t="s">
        <v>11</v>
      </c>
      <c r="M133" s="22">
        <f t="shared" si="2"/>
        <v>45145</v>
      </c>
    </row>
    <row r="134" spans="1:13" x14ac:dyDescent="0.3">
      <c r="A134" t="s">
        <v>639</v>
      </c>
      <c r="B134" t="s">
        <v>649</v>
      </c>
      <c r="C134" t="s">
        <v>650</v>
      </c>
      <c r="D134" t="s">
        <v>639</v>
      </c>
      <c r="E134">
        <v>70</v>
      </c>
      <c r="G134">
        <v>4837.79</v>
      </c>
      <c r="H134" t="s">
        <v>651</v>
      </c>
      <c r="I134" t="s">
        <v>11</v>
      </c>
      <c r="M134" s="22">
        <f t="shared" si="2"/>
        <v>45154</v>
      </c>
    </row>
    <row r="135" spans="1:13" x14ac:dyDescent="0.3">
      <c r="A135" t="s">
        <v>654</v>
      </c>
      <c r="B135" t="s">
        <v>662</v>
      </c>
      <c r="C135" t="s">
        <v>663</v>
      </c>
      <c r="D135" t="s">
        <v>654</v>
      </c>
      <c r="E135">
        <v>750</v>
      </c>
      <c r="G135">
        <v>2779.79</v>
      </c>
      <c r="H135" t="s">
        <v>664</v>
      </c>
      <c r="I135" t="s">
        <v>11</v>
      </c>
      <c r="J135" t="s">
        <v>184</v>
      </c>
      <c r="M135" s="22">
        <f t="shared" si="2"/>
        <v>45155</v>
      </c>
    </row>
    <row r="136" spans="1:13" x14ac:dyDescent="0.3">
      <c r="A136" t="s">
        <v>504</v>
      </c>
      <c r="B136" t="s">
        <v>526</v>
      </c>
      <c r="C136" t="s">
        <v>527</v>
      </c>
      <c r="D136" t="s">
        <v>504</v>
      </c>
      <c r="E136">
        <v>500</v>
      </c>
      <c r="G136">
        <v>20227.849999999999</v>
      </c>
      <c r="H136" t="s">
        <v>528</v>
      </c>
      <c r="I136" t="s">
        <v>11</v>
      </c>
      <c r="M136" s="22">
        <f t="shared" si="2"/>
        <v>45147</v>
      </c>
    </row>
    <row r="137" spans="1:13" x14ac:dyDescent="0.3">
      <c r="A137" t="s">
        <v>1306</v>
      </c>
      <c r="B137" t="s">
        <v>1307</v>
      </c>
      <c r="C137" t="s">
        <v>1308</v>
      </c>
      <c r="D137" t="s">
        <v>1306</v>
      </c>
      <c r="E137">
        <v>1000</v>
      </c>
      <c r="G137">
        <v>3355.11</v>
      </c>
      <c r="H137" t="s">
        <v>1309</v>
      </c>
      <c r="I137" t="s">
        <v>11</v>
      </c>
      <c r="M137" s="22">
        <f t="shared" si="2"/>
        <v>45197</v>
      </c>
    </row>
    <row r="138" spans="1:13" x14ac:dyDescent="0.3">
      <c r="A138" t="s">
        <v>42</v>
      </c>
      <c r="B138" t="s">
        <v>67</v>
      </c>
      <c r="C138" t="s">
        <v>68</v>
      </c>
      <c r="D138" t="s">
        <v>42</v>
      </c>
      <c r="E138">
        <v>1000</v>
      </c>
      <c r="G138">
        <v>42435.96</v>
      </c>
      <c r="H138" t="s">
        <v>69</v>
      </c>
      <c r="I138" t="s">
        <v>11</v>
      </c>
      <c r="M138" s="22">
        <f t="shared" si="2"/>
        <v>45108</v>
      </c>
    </row>
    <row r="139" spans="1:13" x14ac:dyDescent="0.3">
      <c r="A139" t="s">
        <v>804</v>
      </c>
      <c r="B139" t="s">
        <v>810</v>
      </c>
      <c r="C139" t="s">
        <v>811</v>
      </c>
      <c r="D139" t="s">
        <v>804</v>
      </c>
      <c r="E139">
        <v>1100</v>
      </c>
      <c r="G139">
        <v>3336.85</v>
      </c>
      <c r="H139" t="s">
        <v>812</v>
      </c>
      <c r="I139" t="s">
        <v>11</v>
      </c>
      <c r="M139" s="22">
        <f t="shared" si="2"/>
        <v>45134</v>
      </c>
    </row>
    <row r="140" spans="1:13" x14ac:dyDescent="0.3">
      <c r="A140" t="s">
        <v>42</v>
      </c>
      <c r="B140" t="s">
        <v>64</v>
      </c>
      <c r="C140" t="s">
        <v>65</v>
      </c>
      <c r="D140" t="s">
        <v>42</v>
      </c>
      <c r="E140">
        <v>500</v>
      </c>
      <c r="G140">
        <v>43435.96</v>
      </c>
      <c r="H140" t="s">
        <v>66</v>
      </c>
      <c r="I140" t="s">
        <v>11</v>
      </c>
      <c r="M140" s="22">
        <f t="shared" si="2"/>
        <v>45108</v>
      </c>
    </row>
    <row r="141" spans="1:13" x14ac:dyDescent="0.3">
      <c r="A141" t="s">
        <v>864</v>
      </c>
      <c r="B141" t="s">
        <v>877</v>
      </c>
      <c r="C141" t="s">
        <v>878</v>
      </c>
      <c r="D141" t="s">
        <v>864</v>
      </c>
      <c r="F141">
        <v>275</v>
      </c>
      <c r="G141">
        <v>604.16999999999996</v>
      </c>
      <c r="H141" t="s">
        <v>879</v>
      </c>
      <c r="I141" t="s">
        <v>11</v>
      </c>
      <c r="M141" s="22">
        <f t="shared" ref="M141:M203" si="3">IFERROR(DATEVALUE(A141),"")</f>
        <v>45159</v>
      </c>
    </row>
    <row r="142" spans="1:13" x14ac:dyDescent="0.3">
      <c r="A142" t="s">
        <v>885</v>
      </c>
      <c r="B142" t="s">
        <v>892</v>
      </c>
      <c r="C142" t="s">
        <v>893</v>
      </c>
      <c r="D142" t="s">
        <v>885</v>
      </c>
      <c r="E142">
        <v>3469</v>
      </c>
      <c r="G142">
        <v>-21213.83</v>
      </c>
      <c r="H142" t="s">
        <v>894</v>
      </c>
      <c r="I142" t="s">
        <v>11</v>
      </c>
      <c r="M142" s="22">
        <f t="shared" si="3"/>
        <v>45160</v>
      </c>
    </row>
    <row r="143" spans="1:13" x14ac:dyDescent="0.3">
      <c r="A143" t="s">
        <v>684</v>
      </c>
      <c r="B143" t="s">
        <v>709</v>
      </c>
      <c r="C143" t="s">
        <v>710</v>
      </c>
      <c r="D143" t="s">
        <v>684</v>
      </c>
      <c r="F143">
        <v>10225</v>
      </c>
      <c r="G143">
        <v>31874.79</v>
      </c>
      <c r="H143" t="s">
        <v>711</v>
      </c>
      <c r="I143" t="s">
        <v>11</v>
      </c>
      <c r="M143" s="22">
        <f t="shared" si="3"/>
        <v>45157</v>
      </c>
    </row>
    <row r="144" spans="1:13" x14ac:dyDescent="0.3">
      <c r="A144" t="s">
        <v>849</v>
      </c>
      <c r="B144" t="s">
        <v>851</v>
      </c>
      <c r="C144" t="s">
        <v>852</v>
      </c>
      <c r="D144" t="s">
        <v>849</v>
      </c>
      <c r="F144">
        <v>650</v>
      </c>
      <c r="G144">
        <v>1165.79</v>
      </c>
      <c r="H144" t="s">
        <v>853</v>
      </c>
      <c r="I144" t="s">
        <v>11</v>
      </c>
      <c r="M144" s="22">
        <f t="shared" si="3"/>
        <v>45158</v>
      </c>
    </row>
    <row r="145" spans="1:13" x14ac:dyDescent="0.3">
      <c r="A145" t="s">
        <v>629</v>
      </c>
      <c r="B145" t="s">
        <v>636</v>
      </c>
      <c r="C145" t="s">
        <v>637</v>
      </c>
      <c r="D145" t="s">
        <v>629</v>
      </c>
      <c r="E145">
        <v>150</v>
      </c>
      <c r="G145">
        <v>5022.79</v>
      </c>
      <c r="H145" t="s">
        <v>638</v>
      </c>
      <c r="I145" t="s">
        <v>11</v>
      </c>
      <c r="M145" s="22">
        <f t="shared" si="3"/>
        <v>45153</v>
      </c>
    </row>
    <row r="146" spans="1:13" x14ac:dyDescent="0.3">
      <c r="A146" t="s">
        <v>1332</v>
      </c>
      <c r="B146" t="s">
        <v>1333</v>
      </c>
      <c r="C146" t="s">
        <v>1334</v>
      </c>
      <c r="D146" t="s">
        <v>1332</v>
      </c>
      <c r="E146">
        <v>433</v>
      </c>
      <c r="G146">
        <v>55325.46</v>
      </c>
      <c r="H146" t="s">
        <v>1335</v>
      </c>
      <c r="I146" t="s">
        <v>11</v>
      </c>
      <c r="M146" s="22">
        <f t="shared" si="3"/>
        <v>45199</v>
      </c>
    </row>
    <row r="147" spans="1:13" x14ac:dyDescent="0.3">
      <c r="A147" t="s">
        <v>1104</v>
      </c>
      <c r="B147" t="s">
        <v>1106</v>
      </c>
      <c r="C147" t="s">
        <v>1107</v>
      </c>
      <c r="D147" t="s">
        <v>1104</v>
      </c>
      <c r="E147">
        <v>550</v>
      </c>
      <c r="G147">
        <v>8281.35</v>
      </c>
      <c r="H147" t="s">
        <v>1108</v>
      </c>
      <c r="I147" t="s">
        <v>11</v>
      </c>
      <c r="M147" s="22">
        <f t="shared" si="3"/>
        <v>45178</v>
      </c>
    </row>
    <row r="148" spans="1:13" x14ac:dyDescent="0.3">
      <c r="A148" t="s">
        <v>958</v>
      </c>
      <c r="B148" t="s">
        <v>968</v>
      </c>
      <c r="C148" t="s">
        <v>969</v>
      </c>
      <c r="D148" t="s">
        <v>958</v>
      </c>
      <c r="F148">
        <v>470</v>
      </c>
      <c r="G148">
        <v>1652.17</v>
      </c>
      <c r="H148" t="s">
        <v>970</v>
      </c>
      <c r="I148" t="s">
        <v>11</v>
      </c>
      <c r="M148" s="22">
        <f t="shared" si="3"/>
        <v>45166</v>
      </c>
    </row>
    <row r="149" spans="1:13" x14ac:dyDescent="0.3">
      <c r="A149" t="s">
        <v>791</v>
      </c>
      <c r="B149" t="s">
        <v>798</v>
      </c>
      <c r="C149" t="s">
        <v>799</v>
      </c>
      <c r="D149" t="s">
        <v>791</v>
      </c>
      <c r="E149">
        <v>150</v>
      </c>
      <c r="G149">
        <v>6419.66</v>
      </c>
      <c r="H149" t="s">
        <v>800</v>
      </c>
      <c r="I149" t="s">
        <v>11</v>
      </c>
      <c r="M149" s="22">
        <f t="shared" si="3"/>
        <v>45133</v>
      </c>
    </row>
    <row r="150" spans="1:13" x14ac:dyDescent="0.3">
      <c r="A150" t="s">
        <v>1167</v>
      </c>
      <c r="B150" t="s">
        <v>1177</v>
      </c>
      <c r="C150" t="s">
        <v>1178</v>
      </c>
      <c r="D150" t="s">
        <v>1167</v>
      </c>
      <c r="E150">
        <v>280</v>
      </c>
      <c r="G150">
        <v>4273.25</v>
      </c>
      <c r="H150" t="s">
        <v>1179</v>
      </c>
      <c r="I150" t="s">
        <v>11</v>
      </c>
      <c r="M150" s="22">
        <f t="shared" si="3"/>
        <v>45185</v>
      </c>
    </row>
    <row r="151" spans="1:13" x14ac:dyDescent="0.3">
      <c r="A151" t="s">
        <v>121</v>
      </c>
      <c r="B151" t="s">
        <v>123</v>
      </c>
      <c r="C151" t="s">
        <v>124</v>
      </c>
      <c r="D151" t="s">
        <v>121</v>
      </c>
      <c r="E151">
        <v>12</v>
      </c>
      <c r="G151">
        <v>2190.46</v>
      </c>
      <c r="H151" t="s">
        <v>125</v>
      </c>
      <c r="I151" t="s">
        <v>11</v>
      </c>
      <c r="M151" s="22">
        <f t="shared" si="3"/>
        <v>45113</v>
      </c>
    </row>
    <row r="152" spans="1:13" x14ac:dyDescent="0.3">
      <c r="A152" t="s">
        <v>781</v>
      </c>
      <c r="B152" t="s">
        <v>782</v>
      </c>
      <c r="C152" t="s">
        <v>783</v>
      </c>
      <c r="D152" t="s">
        <v>781</v>
      </c>
      <c r="E152">
        <v>13</v>
      </c>
      <c r="G152">
        <v>3815.94</v>
      </c>
      <c r="H152" t="s">
        <v>784</v>
      </c>
      <c r="I152" t="s">
        <v>11</v>
      </c>
      <c r="M152" s="22">
        <f t="shared" si="3"/>
        <v>45132</v>
      </c>
    </row>
    <row r="153" spans="1:13" x14ac:dyDescent="0.3">
      <c r="A153" t="s">
        <v>819</v>
      </c>
      <c r="B153" t="s">
        <v>820</v>
      </c>
      <c r="C153" t="s">
        <v>821</v>
      </c>
      <c r="D153" t="s">
        <v>819</v>
      </c>
      <c r="E153">
        <v>18</v>
      </c>
      <c r="G153">
        <v>3619.85</v>
      </c>
      <c r="H153" t="s">
        <v>822</v>
      </c>
      <c r="I153" t="s">
        <v>11</v>
      </c>
      <c r="M153" s="22">
        <f t="shared" si="3"/>
        <v>45135</v>
      </c>
    </row>
    <row r="154" spans="1:13" x14ac:dyDescent="0.3">
      <c r="A154" t="s">
        <v>433</v>
      </c>
      <c r="B154" t="s">
        <v>443</v>
      </c>
      <c r="C154" t="s">
        <v>444</v>
      </c>
      <c r="D154" t="s">
        <v>433</v>
      </c>
      <c r="E154">
        <v>12</v>
      </c>
      <c r="G154">
        <v>36629.85</v>
      </c>
      <c r="H154" t="s">
        <v>445</v>
      </c>
      <c r="I154" t="s">
        <v>11</v>
      </c>
      <c r="M154" s="22">
        <f t="shared" si="3"/>
        <v>45139</v>
      </c>
    </row>
    <row r="155" spans="1:13" x14ac:dyDescent="0.3">
      <c r="A155" t="s">
        <v>487</v>
      </c>
      <c r="B155" t="s">
        <v>488</v>
      </c>
      <c r="C155" t="s">
        <v>489</v>
      </c>
      <c r="D155" t="s">
        <v>487</v>
      </c>
      <c r="E155">
        <v>12</v>
      </c>
      <c r="G155">
        <v>21178.85</v>
      </c>
      <c r="H155" t="s">
        <v>490</v>
      </c>
      <c r="I155" t="s">
        <v>11</v>
      </c>
      <c r="M155" s="22">
        <f t="shared" si="3"/>
        <v>45145</v>
      </c>
    </row>
    <row r="156" spans="1:13" x14ac:dyDescent="0.3">
      <c r="A156" t="s">
        <v>905</v>
      </c>
      <c r="B156" t="s">
        <v>906</v>
      </c>
      <c r="C156" t="s">
        <v>907</v>
      </c>
      <c r="D156" t="s">
        <v>905</v>
      </c>
      <c r="E156">
        <v>15</v>
      </c>
      <c r="G156">
        <v>4757.17</v>
      </c>
      <c r="H156" t="s">
        <v>908</v>
      </c>
      <c r="I156" t="s">
        <v>11</v>
      </c>
      <c r="M156" s="22">
        <f t="shared" si="3"/>
        <v>45161</v>
      </c>
    </row>
    <row r="157" spans="1:13" x14ac:dyDescent="0.3">
      <c r="A157" t="s">
        <v>1250</v>
      </c>
      <c r="B157" t="s">
        <v>1251</v>
      </c>
      <c r="C157" t="s">
        <v>1252</v>
      </c>
      <c r="D157" t="s">
        <v>1250</v>
      </c>
      <c r="E157">
        <v>16</v>
      </c>
      <c r="G157">
        <v>11612.11</v>
      </c>
      <c r="H157" t="s">
        <v>1253</v>
      </c>
      <c r="I157" t="s">
        <v>11</v>
      </c>
      <c r="M157" s="22">
        <f t="shared" si="3"/>
        <v>45191</v>
      </c>
    </row>
    <row r="158" spans="1:13" x14ac:dyDescent="0.3">
      <c r="A158" t="s">
        <v>1282</v>
      </c>
      <c r="B158" t="s">
        <v>1283</v>
      </c>
      <c r="C158" t="s">
        <v>1284</v>
      </c>
      <c r="D158" t="s">
        <v>1282</v>
      </c>
      <c r="E158">
        <v>16</v>
      </c>
      <c r="G158">
        <v>2777.11</v>
      </c>
      <c r="H158" t="s">
        <v>1285</v>
      </c>
      <c r="I158" t="s">
        <v>11</v>
      </c>
      <c r="M158" s="22">
        <f t="shared" si="3"/>
        <v>45194</v>
      </c>
    </row>
    <row r="159" spans="1:13" x14ac:dyDescent="0.3">
      <c r="A159" t="s">
        <v>1292</v>
      </c>
      <c r="B159" t="s">
        <v>1293</v>
      </c>
      <c r="C159" t="s">
        <v>1294</v>
      </c>
      <c r="D159" t="s">
        <v>1292</v>
      </c>
      <c r="E159">
        <v>14</v>
      </c>
      <c r="G159">
        <v>4215.1099999999997</v>
      </c>
      <c r="H159" t="s">
        <v>1295</v>
      </c>
      <c r="I159" t="s">
        <v>11</v>
      </c>
      <c r="M159" s="22">
        <f t="shared" si="3"/>
        <v>45195</v>
      </c>
    </row>
    <row r="160" spans="1:13" x14ac:dyDescent="0.3">
      <c r="A160" t="s">
        <v>1306</v>
      </c>
      <c r="B160" t="s">
        <v>1310</v>
      </c>
      <c r="C160" t="s">
        <v>1311</v>
      </c>
      <c r="D160" t="s">
        <v>1306</v>
      </c>
      <c r="E160">
        <v>16</v>
      </c>
      <c r="G160">
        <v>3339.11</v>
      </c>
      <c r="H160" t="s">
        <v>1312</v>
      </c>
      <c r="I160" t="s">
        <v>11</v>
      </c>
      <c r="M160" s="22">
        <f t="shared" si="3"/>
        <v>45197</v>
      </c>
    </row>
    <row r="161" spans="1:13" x14ac:dyDescent="0.3">
      <c r="A161" t="s">
        <v>1306</v>
      </c>
      <c r="B161" t="s">
        <v>1313</v>
      </c>
      <c r="C161" t="s">
        <v>1314</v>
      </c>
      <c r="D161" t="s">
        <v>1306</v>
      </c>
      <c r="E161">
        <v>175</v>
      </c>
      <c r="G161">
        <v>3164.11</v>
      </c>
      <c r="H161" t="s">
        <v>1315</v>
      </c>
      <c r="I161" t="s">
        <v>11</v>
      </c>
      <c r="M161" s="22">
        <f t="shared" si="3"/>
        <v>45197</v>
      </c>
    </row>
    <row r="162" spans="1:13" x14ac:dyDescent="0.3">
      <c r="A162" t="s">
        <v>791</v>
      </c>
      <c r="B162" t="s">
        <v>801</v>
      </c>
      <c r="C162" t="s">
        <v>802</v>
      </c>
      <c r="D162" t="s">
        <v>791</v>
      </c>
      <c r="E162">
        <v>502</v>
      </c>
      <c r="G162">
        <v>5917.66</v>
      </c>
      <c r="H162" t="s">
        <v>803</v>
      </c>
      <c r="I162" t="s">
        <v>11</v>
      </c>
      <c r="M162" s="22">
        <f t="shared" si="3"/>
        <v>45133</v>
      </c>
    </row>
    <row r="163" spans="1:13" x14ac:dyDescent="0.3">
      <c r="A163" t="s">
        <v>1082</v>
      </c>
      <c r="B163" t="s">
        <v>1092</v>
      </c>
      <c r="C163" t="s">
        <v>1093</v>
      </c>
      <c r="D163" t="s">
        <v>1082</v>
      </c>
      <c r="E163">
        <v>180</v>
      </c>
      <c r="G163">
        <v>11394.35</v>
      </c>
      <c r="H163" t="s">
        <v>1094</v>
      </c>
      <c r="I163" t="s">
        <v>11</v>
      </c>
      <c r="M163" s="22">
        <f t="shared" si="3"/>
        <v>45176</v>
      </c>
    </row>
    <row r="164" spans="1:13" x14ac:dyDescent="0.3">
      <c r="A164" t="s">
        <v>1112</v>
      </c>
      <c r="B164" t="s">
        <v>1113</v>
      </c>
      <c r="C164" t="s">
        <v>1114</v>
      </c>
      <c r="D164" t="s">
        <v>1112</v>
      </c>
      <c r="E164">
        <v>50</v>
      </c>
      <c r="G164">
        <v>8042.35</v>
      </c>
      <c r="H164" t="s">
        <v>1115</v>
      </c>
      <c r="I164" t="s">
        <v>11</v>
      </c>
      <c r="M164" s="22">
        <f t="shared" si="3"/>
        <v>45180</v>
      </c>
    </row>
    <row r="165" spans="1:13" x14ac:dyDescent="0.3">
      <c r="A165" t="s">
        <v>743</v>
      </c>
      <c r="B165" t="s">
        <v>754</v>
      </c>
      <c r="C165" t="s">
        <v>755</v>
      </c>
      <c r="D165" t="s">
        <v>743</v>
      </c>
      <c r="E165">
        <v>60</v>
      </c>
      <c r="G165">
        <v>5057.9399999999996</v>
      </c>
      <c r="H165" t="s">
        <v>756</v>
      </c>
      <c r="I165" t="s">
        <v>11</v>
      </c>
      <c r="M165" s="22">
        <f t="shared" si="3"/>
        <v>45127</v>
      </c>
    </row>
    <row r="166" spans="1:13" x14ac:dyDescent="0.3">
      <c r="A166" t="s">
        <v>81</v>
      </c>
      <c r="B166" t="s">
        <v>82</v>
      </c>
      <c r="C166" t="s">
        <v>83</v>
      </c>
      <c r="D166" t="s">
        <v>81</v>
      </c>
      <c r="E166">
        <v>30</v>
      </c>
      <c r="G166">
        <v>23819.96</v>
      </c>
      <c r="H166" t="s">
        <v>84</v>
      </c>
      <c r="I166" t="s">
        <v>11</v>
      </c>
      <c r="M166" s="22">
        <f t="shared" si="3"/>
        <v>45110</v>
      </c>
    </row>
    <row r="167" spans="1:13" x14ac:dyDescent="0.3">
      <c r="A167" t="s">
        <v>1130</v>
      </c>
      <c r="B167" t="s">
        <v>1134</v>
      </c>
      <c r="C167" t="s">
        <v>1135</v>
      </c>
      <c r="D167" t="s">
        <v>1130</v>
      </c>
      <c r="E167">
        <v>1000</v>
      </c>
      <c r="G167">
        <v>10274.35</v>
      </c>
      <c r="H167" t="s">
        <v>1136</v>
      </c>
      <c r="I167" t="s">
        <v>11</v>
      </c>
      <c r="M167" s="22">
        <f t="shared" si="3"/>
        <v>45182</v>
      </c>
    </row>
    <row r="168" spans="1:13" x14ac:dyDescent="0.3">
      <c r="A168" t="s">
        <v>535</v>
      </c>
      <c r="B168" t="s">
        <v>557</v>
      </c>
      <c r="C168" t="s">
        <v>558</v>
      </c>
      <c r="D168" t="s">
        <v>535</v>
      </c>
      <c r="E168">
        <v>200</v>
      </c>
      <c r="G168">
        <v>22191.85</v>
      </c>
      <c r="H168" t="s">
        <v>559</v>
      </c>
      <c r="I168" t="s">
        <v>11</v>
      </c>
      <c r="J168" t="s">
        <v>195</v>
      </c>
      <c r="M168" s="22">
        <f t="shared" si="3"/>
        <v>45149</v>
      </c>
    </row>
    <row r="169" spans="1:13" x14ac:dyDescent="0.3">
      <c r="A169" t="s">
        <v>1319</v>
      </c>
      <c r="B169" t="s">
        <v>1320</v>
      </c>
      <c r="C169" t="s">
        <v>1321</v>
      </c>
      <c r="D169" t="s">
        <v>1319</v>
      </c>
      <c r="E169">
        <v>70</v>
      </c>
      <c r="G169">
        <v>57463.11</v>
      </c>
      <c r="H169" t="s">
        <v>1322</v>
      </c>
      <c r="I169" t="s">
        <v>11</v>
      </c>
      <c r="M169" s="22">
        <f t="shared" si="3"/>
        <v>45198</v>
      </c>
    </row>
    <row r="170" spans="1:13" x14ac:dyDescent="0.3">
      <c r="A170" t="s">
        <v>73</v>
      </c>
      <c r="B170" t="s">
        <v>1343</v>
      </c>
      <c r="C170" t="s">
        <v>79</v>
      </c>
      <c r="D170" t="s">
        <v>73</v>
      </c>
      <c r="F170">
        <v>1000</v>
      </c>
      <c r="G170">
        <v>25149.96</v>
      </c>
      <c r="H170" t="s">
        <v>80</v>
      </c>
      <c r="I170" t="s">
        <v>11</v>
      </c>
      <c r="M170" s="22">
        <f t="shared" si="3"/>
        <v>45109</v>
      </c>
    </row>
    <row r="171" spans="1:13" x14ac:dyDescent="0.3">
      <c r="A171" t="s">
        <v>804</v>
      </c>
      <c r="B171" t="s">
        <v>1343</v>
      </c>
      <c r="C171" t="s">
        <v>805</v>
      </c>
      <c r="D171" t="s">
        <v>804</v>
      </c>
      <c r="E171">
        <v>600</v>
      </c>
      <c r="G171">
        <v>5317.66</v>
      </c>
      <c r="H171" t="s">
        <v>806</v>
      </c>
      <c r="I171" t="s">
        <v>11</v>
      </c>
      <c r="J171" t="s">
        <v>1342</v>
      </c>
      <c r="M171" s="22">
        <f t="shared" si="3"/>
        <v>45134</v>
      </c>
    </row>
    <row r="172" spans="1:13" x14ac:dyDescent="0.3">
      <c r="A172" t="s">
        <v>804</v>
      </c>
      <c r="B172" t="s">
        <v>1343</v>
      </c>
      <c r="C172" t="s">
        <v>813</v>
      </c>
      <c r="D172" t="s">
        <v>804</v>
      </c>
      <c r="F172">
        <v>600</v>
      </c>
      <c r="G172">
        <v>3936.85</v>
      </c>
      <c r="H172" t="s">
        <v>814</v>
      </c>
      <c r="I172" t="s">
        <v>11</v>
      </c>
      <c r="M172" s="22">
        <f t="shared" si="3"/>
        <v>45134</v>
      </c>
    </row>
    <row r="173" spans="1:13" x14ac:dyDescent="0.3">
      <c r="A173" t="s">
        <v>804</v>
      </c>
      <c r="B173" t="s">
        <v>1343</v>
      </c>
      <c r="C173" t="s">
        <v>815</v>
      </c>
      <c r="D173" t="s">
        <v>804</v>
      </c>
      <c r="E173">
        <v>300</v>
      </c>
      <c r="G173">
        <v>3636.85</v>
      </c>
      <c r="H173" t="s">
        <v>816</v>
      </c>
      <c r="I173" t="s">
        <v>11</v>
      </c>
      <c r="J173" t="s">
        <v>1342</v>
      </c>
      <c r="M173" s="22">
        <f t="shared" si="3"/>
        <v>45134</v>
      </c>
    </row>
    <row r="174" spans="1:13" x14ac:dyDescent="0.3">
      <c r="A174" t="s">
        <v>459</v>
      </c>
      <c r="B174" t="s">
        <v>1343</v>
      </c>
      <c r="C174" t="s">
        <v>463</v>
      </c>
      <c r="D174" t="s">
        <v>459</v>
      </c>
      <c r="F174">
        <v>1000</v>
      </c>
      <c r="G174">
        <v>21051.85</v>
      </c>
      <c r="H174" t="s">
        <v>464</v>
      </c>
      <c r="I174" t="s">
        <v>11</v>
      </c>
      <c r="M174" s="22">
        <f t="shared" si="3"/>
        <v>45142</v>
      </c>
    </row>
    <row r="175" spans="1:13" x14ac:dyDescent="0.3">
      <c r="A175" t="s">
        <v>459</v>
      </c>
      <c r="B175" t="s">
        <v>1343</v>
      </c>
      <c r="C175" t="s">
        <v>465</v>
      </c>
      <c r="D175" t="s">
        <v>459</v>
      </c>
      <c r="E175">
        <v>200</v>
      </c>
      <c r="G175">
        <v>20851.849999999999</v>
      </c>
      <c r="H175" t="s">
        <v>466</v>
      </c>
      <c r="I175" t="s">
        <v>11</v>
      </c>
      <c r="J175" t="s">
        <v>196</v>
      </c>
      <c r="M175" s="22">
        <f t="shared" si="3"/>
        <v>45142</v>
      </c>
    </row>
    <row r="176" spans="1:13" x14ac:dyDescent="0.3">
      <c r="A176" t="s">
        <v>470</v>
      </c>
      <c r="B176" t="s">
        <v>1343</v>
      </c>
      <c r="C176" t="s">
        <v>474</v>
      </c>
      <c r="D176" t="s">
        <v>470</v>
      </c>
      <c r="F176">
        <v>1100</v>
      </c>
      <c r="G176">
        <v>21644.85</v>
      </c>
      <c r="H176" t="s">
        <v>475</v>
      </c>
      <c r="I176" t="s">
        <v>11</v>
      </c>
      <c r="M176" s="22">
        <f t="shared" si="3"/>
        <v>45143</v>
      </c>
    </row>
    <row r="177" spans="1:13" x14ac:dyDescent="0.3">
      <c r="A177" t="s">
        <v>470</v>
      </c>
      <c r="B177" t="s">
        <v>1343</v>
      </c>
      <c r="C177" t="s">
        <v>476</v>
      </c>
      <c r="D177" t="s">
        <v>470</v>
      </c>
      <c r="F177">
        <v>233</v>
      </c>
      <c r="G177">
        <v>21877.85</v>
      </c>
      <c r="H177" t="s">
        <v>477</v>
      </c>
      <c r="I177" t="s">
        <v>11</v>
      </c>
      <c r="M177" s="22">
        <f t="shared" si="3"/>
        <v>45143</v>
      </c>
    </row>
    <row r="178" spans="1:13" x14ac:dyDescent="0.3">
      <c r="A178" t="s">
        <v>684</v>
      </c>
      <c r="B178" t="s">
        <v>1343</v>
      </c>
      <c r="C178" t="s">
        <v>685</v>
      </c>
      <c r="D178" t="s">
        <v>684</v>
      </c>
      <c r="E178">
        <v>900</v>
      </c>
      <c r="G178">
        <v>2069.79</v>
      </c>
      <c r="H178" t="s">
        <v>686</v>
      </c>
      <c r="I178" t="s">
        <v>11</v>
      </c>
      <c r="J178" t="s">
        <v>196</v>
      </c>
      <c r="M178" s="22">
        <f t="shared" si="3"/>
        <v>45157</v>
      </c>
    </row>
    <row r="179" spans="1:13" x14ac:dyDescent="0.3">
      <c r="A179" t="s">
        <v>1082</v>
      </c>
      <c r="B179" t="s">
        <v>1086</v>
      </c>
      <c r="C179" t="s">
        <v>1087</v>
      </c>
      <c r="D179" t="s">
        <v>1082</v>
      </c>
      <c r="E179">
        <v>150</v>
      </c>
      <c r="G179">
        <v>11624.35</v>
      </c>
      <c r="H179" t="s">
        <v>1088</v>
      </c>
      <c r="I179" t="s">
        <v>11</v>
      </c>
      <c r="M179" s="22">
        <f t="shared" si="3"/>
        <v>45176</v>
      </c>
    </row>
    <row r="180" spans="1:13" x14ac:dyDescent="0.3">
      <c r="A180" t="s">
        <v>1082</v>
      </c>
      <c r="B180" t="s">
        <v>1089</v>
      </c>
      <c r="C180" t="s">
        <v>1090</v>
      </c>
      <c r="D180" t="s">
        <v>1082</v>
      </c>
      <c r="E180">
        <v>50</v>
      </c>
      <c r="G180">
        <v>11574.35</v>
      </c>
      <c r="H180" t="s">
        <v>1091</v>
      </c>
      <c r="I180" t="s">
        <v>11</v>
      </c>
      <c r="M180" s="22">
        <f t="shared" si="3"/>
        <v>45176</v>
      </c>
    </row>
    <row r="181" spans="1:13" x14ac:dyDescent="0.3">
      <c r="A181" t="s">
        <v>1157</v>
      </c>
      <c r="B181" t="s">
        <v>1158</v>
      </c>
      <c r="C181" t="s">
        <v>1159</v>
      </c>
      <c r="D181" t="s">
        <v>1157</v>
      </c>
      <c r="E181">
        <v>2942</v>
      </c>
      <c r="G181">
        <v>6025.35</v>
      </c>
      <c r="H181" t="s">
        <v>1160</v>
      </c>
      <c r="I181" t="s">
        <v>11</v>
      </c>
      <c r="M181" s="22">
        <f t="shared" si="3"/>
        <v>45183</v>
      </c>
    </row>
    <row r="182" spans="1:13" x14ac:dyDescent="0.3">
      <c r="A182" t="s">
        <v>504</v>
      </c>
      <c r="B182" t="s">
        <v>505</v>
      </c>
      <c r="C182" t="s">
        <v>506</v>
      </c>
      <c r="D182" t="s">
        <v>504</v>
      </c>
      <c r="E182">
        <v>50</v>
      </c>
      <c r="G182">
        <v>21892.85</v>
      </c>
      <c r="H182" t="s">
        <v>507</v>
      </c>
      <c r="I182" t="s">
        <v>11</v>
      </c>
      <c r="M182" s="22">
        <f t="shared" si="3"/>
        <v>45147</v>
      </c>
    </row>
    <row r="183" spans="1:13" x14ac:dyDescent="0.3">
      <c r="A183" t="s">
        <v>1260</v>
      </c>
      <c r="B183" t="s">
        <v>1270</v>
      </c>
      <c r="C183" t="s">
        <v>1271</v>
      </c>
      <c r="D183" t="s">
        <v>1260</v>
      </c>
      <c r="E183">
        <v>2500</v>
      </c>
      <c r="G183">
        <v>3122.11</v>
      </c>
      <c r="H183" t="s">
        <v>1272</v>
      </c>
      <c r="I183" t="s">
        <v>11</v>
      </c>
      <c r="M183" s="22">
        <f t="shared" si="3"/>
        <v>45192</v>
      </c>
    </row>
    <row r="184" spans="1:13" x14ac:dyDescent="0.3">
      <c r="A184" t="s">
        <v>958</v>
      </c>
      <c r="B184" t="s">
        <v>959</v>
      </c>
      <c r="C184" t="s">
        <v>960</v>
      </c>
      <c r="D184" t="s">
        <v>958</v>
      </c>
      <c r="E184">
        <v>30</v>
      </c>
      <c r="G184">
        <v>1472.17</v>
      </c>
      <c r="H184" t="s">
        <v>961</v>
      </c>
      <c r="I184" t="s">
        <v>11</v>
      </c>
      <c r="M184" s="22">
        <f t="shared" si="3"/>
        <v>45166</v>
      </c>
    </row>
    <row r="185" spans="1:13" x14ac:dyDescent="0.3">
      <c r="A185" t="s">
        <v>654</v>
      </c>
      <c r="B185" t="s">
        <v>671</v>
      </c>
      <c r="C185" t="s">
        <v>672</v>
      </c>
      <c r="D185" t="s">
        <v>654</v>
      </c>
      <c r="F185">
        <v>1000</v>
      </c>
      <c r="G185">
        <v>4029.79</v>
      </c>
      <c r="H185" t="s">
        <v>673</v>
      </c>
      <c r="I185" t="s">
        <v>11</v>
      </c>
      <c r="M185" s="22">
        <f t="shared" si="3"/>
        <v>45155</v>
      </c>
    </row>
    <row r="186" spans="1:13" x14ac:dyDescent="0.3">
      <c r="A186" t="s">
        <v>757</v>
      </c>
      <c r="B186" t="s">
        <v>758</v>
      </c>
      <c r="C186" t="s">
        <v>759</v>
      </c>
      <c r="D186" t="s">
        <v>757</v>
      </c>
      <c r="E186">
        <v>125</v>
      </c>
      <c r="G186">
        <v>4932.9399999999996</v>
      </c>
      <c r="H186" t="s">
        <v>760</v>
      </c>
      <c r="I186" t="s">
        <v>11</v>
      </c>
      <c r="M186" s="22">
        <f t="shared" si="3"/>
        <v>45128</v>
      </c>
    </row>
    <row r="187" spans="1:13" x14ac:dyDescent="0.3">
      <c r="A187" t="s">
        <v>925</v>
      </c>
      <c r="B187" t="s">
        <v>932</v>
      </c>
      <c r="C187" t="s">
        <v>933</v>
      </c>
      <c r="D187" t="s">
        <v>925</v>
      </c>
      <c r="F187">
        <v>230</v>
      </c>
      <c r="G187">
        <v>3166.17</v>
      </c>
      <c r="H187" t="s">
        <v>934</v>
      </c>
      <c r="I187" t="s">
        <v>11</v>
      </c>
      <c r="M187" s="22">
        <f t="shared" si="3"/>
        <v>45163</v>
      </c>
    </row>
    <row r="188" spans="1:13" x14ac:dyDescent="0.3">
      <c r="A188" t="s">
        <v>42</v>
      </c>
      <c r="B188" t="s">
        <v>61</v>
      </c>
      <c r="C188" t="s">
        <v>62</v>
      </c>
      <c r="D188" t="s">
        <v>42</v>
      </c>
      <c r="E188">
        <v>700</v>
      </c>
      <c r="G188">
        <v>60235.96</v>
      </c>
      <c r="H188" t="s">
        <v>63</v>
      </c>
      <c r="I188" t="s">
        <v>11</v>
      </c>
      <c r="M188" s="22">
        <f t="shared" si="3"/>
        <v>45108</v>
      </c>
    </row>
    <row r="189" spans="1:13" x14ac:dyDescent="0.3">
      <c r="A189" t="s">
        <v>161</v>
      </c>
      <c r="B189" t="s">
        <v>175</v>
      </c>
      <c r="C189" t="s">
        <v>176</v>
      </c>
      <c r="D189" t="s">
        <v>161</v>
      </c>
      <c r="F189">
        <v>2114</v>
      </c>
      <c r="G189">
        <v>8516.56</v>
      </c>
      <c r="H189" t="s">
        <v>177</v>
      </c>
      <c r="I189" t="s">
        <v>11</v>
      </c>
      <c r="M189" s="22">
        <f t="shared" si="3"/>
        <v>45116</v>
      </c>
    </row>
    <row r="190" spans="1:13" x14ac:dyDescent="0.3">
      <c r="A190" t="s">
        <v>242</v>
      </c>
      <c r="B190" t="s">
        <v>246</v>
      </c>
      <c r="C190" t="s">
        <v>247</v>
      </c>
      <c r="D190" t="s">
        <v>242</v>
      </c>
      <c r="F190">
        <v>12500</v>
      </c>
      <c r="G190">
        <v>51822.559999999998</v>
      </c>
      <c r="H190" t="s">
        <v>248</v>
      </c>
      <c r="I190" t="s">
        <v>11</v>
      </c>
      <c r="M190" s="22">
        <f t="shared" si="3"/>
        <v>45119</v>
      </c>
    </row>
    <row r="191" spans="1:13" x14ac:dyDescent="0.3">
      <c r="A191" t="s">
        <v>830</v>
      </c>
      <c r="B191" t="s">
        <v>834</v>
      </c>
      <c r="C191" t="s">
        <v>835</v>
      </c>
      <c r="D191" t="s">
        <v>830</v>
      </c>
      <c r="F191">
        <v>1000</v>
      </c>
      <c r="G191">
        <v>26726.85</v>
      </c>
      <c r="H191" t="s">
        <v>836</v>
      </c>
      <c r="I191" t="s">
        <v>11</v>
      </c>
      <c r="M191" s="22">
        <f t="shared" si="3"/>
        <v>45137</v>
      </c>
    </row>
    <row r="192" spans="1:13" x14ac:dyDescent="0.3">
      <c r="A192" t="s">
        <v>459</v>
      </c>
      <c r="B192" t="s">
        <v>460</v>
      </c>
      <c r="C192" t="s">
        <v>461</v>
      </c>
      <c r="D192" t="s">
        <v>459</v>
      </c>
      <c r="F192">
        <v>866</v>
      </c>
      <c r="G192">
        <v>20051.849999999999</v>
      </c>
      <c r="H192" t="s">
        <v>462</v>
      </c>
      <c r="I192" t="s">
        <v>11</v>
      </c>
      <c r="M192" s="22">
        <f t="shared" si="3"/>
        <v>45142</v>
      </c>
    </row>
    <row r="193" spans="1:13" x14ac:dyDescent="0.3">
      <c r="A193" t="s">
        <v>566</v>
      </c>
      <c r="B193" t="s">
        <v>567</v>
      </c>
      <c r="C193" t="s">
        <v>568</v>
      </c>
      <c r="D193" t="s">
        <v>566</v>
      </c>
      <c r="F193">
        <v>12500</v>
      </c>
      <c r="G193">
        <v>34561.85</v>
      </c>
      <c r="H193" t="s">
        <v>569</v>
      </c>
      <c r="I193" t="s">
        <v>11</v>
      </c>
      <c r="M193" s="22">
        <f t="shared" si="3"/>
        <v>45150</v>
      </c>
    </row>
    <row r="194" spans="1:13" x14ac:dyDescent="0.3">
      <c r="A194" t="s">
        <v>654</v>
      </c>
      <c r="B194" t="s">
        <v>665</v>
      </c>
      <c r="C194" t="s">
        <v>666</v>
      </c>
      <c r="D194" t="s">
        <v>654</v>
      </c>
      <c r="F194">
        <v>8965</v>
      </c>
      <c r="G194">
        <v>11744.79</v>
      </c>
      <c r="H194" t="s">
        <v>667</v>
      </c>
      <c r="I194" t="s">
        <v>11</v>
      </c>
      <c r="M194" s="22">
        <f t="shared" si="3"/>
        <v>45155</v>
      </c>
    </row>
    <row r="195" spans="1:13" x14ac:dyDescent="0.3">
      <c r="A195" t="s">
        <v>1032</v>
      </c>
      <c r="B195" t="s">
        <v>1051</v>
      </c>
      <c r="C195" t="s">
        <v>1052</v>
      </c>
      <c r="D195" t="s">
        <v>1032</v>
      </c>
      <c r="F195">
        <v>3000</v>
      </c>
      <c r="G195">
        <v>21081.17</v>
      </c>
      <c r="H195" t="s">
        <v>1053</v>
      </c>
      <c r="I195" t="s">
        <v>11</v>
      </c>
      <c r="M195" s="22">
        <f t="shared" si="3"/>
        <v>45173</v>
      </c>
    </row>
    <row r="196" spans="1:13" x14ac:dyDescent="0.3">
      <c r="A196" t="s">
        <v>1121</v>
      </c>
      <c r="B196" t="s">
        <v>1124</v>
      </c>
      <c r="C196" t="s">
        <v>1125</v>
      </c>
      <c r="D196" t="s">
        <v>1121</v>
      </c>
      <c r="F196">
        <v>12500</v>
      </c>
      <c r="G196">
        <v>51372.35</v>
      </c>
      <c r="H196" t="s">
        <v>1126</v>
      </c>
      <c r="I196" t="s">
        <v>11</v>
      </c>
      <c r="M196" s="22">
        <f t="shared" si="3"/>
        <v>45181</v>
      </c>
    </row>
    <row r="197" spans="1:13" x14ac:dyDescent="0.3">
      <c r="A197" t="s">
        <v>849</v>
      </c>
      <c r="B197" t="s">
        <v>854</v>
      </c>
      <c r="C197" t="s">
        <v>855</v>
      </c>
      <c r="D197" t="s">
        <v>849</v>
      </c>
      <c r="E197">
        <v>300</v>
      </c>
      <c r="G197">
        <v>865.79</v>
      </c>
      <c r="H197" t="s">
        <v>856</v>
      </c>
      <c r="I197" t="s">
        <v>11</v>
      </c>
      <c r="M197" s="22">
        <f t="shared" si="3"/>
        <v>45158</v>
      </c>
    </row>
    <row r="198" spans="1:13" x14ac:dyDescent="0.3">
      <c r="A198" t="s">
        <v>1189</v>
      </c>
      <c r="B198" t="s">
        <v>1193</v>
      </c>
      <c r="C198" t="s">
        <v>1194</v>
      </c>
      <c r="D198" t="s">
        <v>1189</v>
      </c>
      <c r="E198">
        <v>200</v>
      </c>
      <c r="G198">
        <v>2303.25</v>
      </c>
      <c r="H198" t="s">
        <v>1195</v>
      </c>
      <c r="I198" t="s">
        <v>11</v>
      </c>
      <c r="M198" s="22">
        <f t="shared" si="3"/>
        <v>45186</v>
      </c>
    </row>
    <row r="199" spans="1:13" x14ac:dyDescent="0.3">
      <c r="A199" t="s">
        <v>242</v>
      </c>
      <c r="B199" t="s">
        <v>243</v>
      </c>
      <c r="C199" t="s">
        <v>244</v>
      </c>
      <c r="D199" t="s">
        <v>242</v>
      </c>
      <c r="F199">
        <v>370</v>
      </c>
      <c r="G199">
        <v>39322.559999999998</v>
      </c>
      <c r="H199" t="s">
        <v>245</v>
      </c>
      <c r="I199" t="s">
        <v>11</v>
      </c>
      <c r="M199" s="22">
        <f t="shared" si="3"/>
        <v>45119</v>
      </c>
    </row>
    <row r="200" spans="1:13" x14ac:dyDescent="0.3">
      <c r="A200" t="s">
        <v>680</v>
      </c>
      <c r="B200" t="s">
        <v>681</v>
      </c>
      <c r="C200" t="s">
        <v>682</v>
      </c>
      <c r="D200" t="s">
        <v>680</v>
      </c>
      <c r="E200">
        <v>500</v>
      </c>
      <c r="G200">
        <v>2969.79</v>
      </c>
      <c r="H200" t="s">
        <v>683</v>
      </c>
      <c r="I200" t="s">
        <v>11</v>
      </c>
      <c r="M200" s="22">
        <f t="shared" si="3"/>
        <v>45156</v>
      </c>
    </row>
    <row r="201" spans="1:13" x14ac:dyDescent="0.3">
      <c r="A201" t="s">
        <v>1082</v>
      </c>
      <c r="B201" t="s">
        <v>1083</v>
      </c>
      <c r="C201" t="s">
        <v>1084</v>
      </c>
      <c r="D201" t="s">
        <v>1082</v>
      </c>
      <c r="E201">
        <v>60</v>
      </c>
      <c r="G201">
        <v>11774.35</v>
      </c>
      <c r="H201" t="s">
        <v>1085</v>
      </c>
      <c r="I201" t="s">
        <v>11</v>
      </c>
      <c r="M201" s="22">
        <f t="shared" si="3"/>
        <v>45176</v>
      </c>
    </row>
    <row r="202" spans="1:13" x14ac:dyDescent="0.3">
      <c r="A202" t="s">
        <v>994</v>
      </c>
      <c r="B202" t="s">
        <v>1000</v>
      </c>
      <c r="C202" t="s">
        <v>1001</v>
      </c>
      <c r="D202" t="s">
        <v>994</v>
      </c>
      <c r="E202">
        <v>80</v>
      </c>
      <c r="G202">
        <v>35269.17</v>
      </c>
      <c r="H202" t="s">
        <v>1002</v>
      </c>
      <c r="I202" t="s">
        <v>11</v>
      </c>
      <c r="M202" s="22">
        <f t="shared" si="3"/>
        <v>45169</v>
      </c>
    </row>
    <row r="203" spans="1:13" x14ac:dyDescent="0.3">
      <c r="A203" t="s">
        <v>654</v>
      </c>
      <c r="B203" t="s">
        <v>677</v>
      </c>
      <c r="C203" t="s">
        <v>678</v>
      </c>
      <c r="D203" t="s">
        <v>654</v>
      </c>
      <c r="E203">
        <v>40</v>
      </c>
      <c r="G203">
        <v>3469.79</v>
      </c>
      <c r="H203" t="s">
        <v>679</v>
      </c>
      <c r="I203" t="s">
        <v>11</v>
      </c>
      <c r="M203" s="22">
        <f t="shared" si="3"/>
        <v>45155</v>
      </c>
    </row>
    <row r="204" spans="1:13" x14ac:dyDescent="0.3">
      <c r="A204" t="s">
        <v>804</v>
      </c>
      <c r="B204" t="s">
        <v>817</v>
      </c>
      <c r="C204" t="s">
        <v>33</v>
      </c>
      <c r="D204" t="s">
        <v>804</v>
      </c>
      <c r="F204">
        <v>1</v>
      </c>
      <c r="G204">
        <v>3637.85</v>
      </c>
      <c r="H204" t="s">
        <v>818</v>
      </c>
      <c r="I204" t="s">
        <v>11</v>
      </c>
      <c r="M204" s="22">
        <f t="shared" ref="M204:M265" si="4">IFERROR(DATEVALUE(A204),"")</f>
        <v>45134</v>
      </c>
    </row>
    <row r="205" spans="1:13" x14ac:dyDescent="0.3">
      <c r="A205" t="s">
        <v>566</v>
      </c>
      <c r="B205" t="s">
        <v>575</v>
      </c>
      <c r="C205" t="s">
        <v>33</v>
      </c>
      <c r="D205" t="s">
        <v>566</v>
      </c>
      <c r="F205">
        <v>1</v>
      </c>
      <c r="G205">
        <v>22062.85</v>
      </c>
      <c r="H205" t="s">
        <v>576</v>
      </c>
      <c r="I205" t="s">
        <v>11</v>
      </c>
      <c r="M205" s="22">
        <f t="shared" si="4"/>
        <v>45150</v>
      </c>
    </row>
    <row r="206" spans="1:13" x14ac:dyDescent="0.3">
      <c r="A206" t="s">
        <v>935</v>
      </c>
      <c r="B206" t="s">
        <v>939</v>
      </c>
      <c r="C206" t="s">
        <v>940</v>
      </c>
      <c r="D206" t="s">
        <v>935</v>
      </c>
      <c r="E206">
        <v>55</v>
      </c>
      <c r="G206">
        <v>3271.17</v>
      </c>
      <c r="H206" t="s">
        <v>941</v>
      </c>
      <c r="I206" t="s">
        <v>11</v>
      </c>
      <c r="M206" s="22">
        <f t="shared" si="4"/>
        <v>45164</v>
      </c>
    </row>
    <row r="207" spans="1:13" x14ac:dyDescent="0.3">
      <c r="A207" t="s">
        <v>580</v>
      </c>
      <c r="B207" t="s">
        <v>587</v>
      </c>
      <c r="C207" t="s">
        <v>588</v>
      </c>
      <c r="D207" t="s">
        <v>580</v>
      </c>
      <c r="F207">
        <v>387</v>
      </c>
      <c r="G207">
        <v>9053.7900000000009</v>
      </c>
      <c r="H207" t="s">
        <v>589</v>
      </c>
      <c r="I207" t="s">
        <v>11</v>
      </c>
      <c r="M207" s="22">
        <f t="shared" si="4"/>
        <v>45151</v>
      </c>
    </row>
    <row r="208" spans="1:13" x14ac:dyDescent="0.3">
      <c r="A208" t="s">
        <v>605</v>
      </c>
      <c r="B208" t="s">
        <v>623</v>
      </c>
      <c r="C208" t="s">
        <v>624</v>
      </c>
      <c r="D208" t="s">
        <v>605</v>
      </c>
      <c r="F208">
        <v>180</v>
      </c>
      <c r="G208">
        <v>6504.79</v>
      </c>
      <c r="H208" t="s">
        <v>625</v>
      </c>
      <c r="I208" t="s">
        <v>11</v>
      </c>
      <c r="M208" s="22">
        <f t="shared" si="4"/>
        <v>45152</v>
      </c>
    </row>
    <row r="209" spans="1:13" x14ac:dyDescent="0.3">
      <c r="A209" t="s">
        <v>935</v>
      </c>
      <c r="B209" t="s">
        <v>936</v>
      </c>
      <c r="C209" t="s">
        <v>937</v>
      </c>
      <c r="D209" t="s">
        <v>935</v>
      </c>
      <c r="F209">
        <v>160</v>
      </c>
      <c r="G209">
        <v>3326.17</v>
      </c>
      <c r="H209" t="s">
        <v>938</v>
      </c>
      <c r="I209" t="s">
        <v>11</v>
      </c>
      <c r="M209" s="22">
        <f t="shared" si="4"/>
        <v>45164</v>
      </c>
    </row>
    <row r="210" spans="1:13" x14ac:dyDescent="0.3">
      <c r="A210" t="s">
        <v>1032</v>
      </c>
      <c r="B210" t="s">
        <v>1039</v>
      </c>
      <c r="C210" t="s">
        <v>1040</v>
      </c>
      <c r="D210" t="s">
        <v>1032</v>
      </c>
      <c r="F210">
        <v>150</v>
      </c>
      <c r="G210">
        <v>19726.169999999998</v>
      </c>
      <c r="H210" t="s">
        <v>1041</v>
      </c>
      <c r="I210" t="s">
        <v>11</v>
      </c>
      <c r="M210" s="22">
        <f t="shared" si="4"/>
        <v>45173</v>
      </c>
    </row>
    <row r="211" spans="1:13" x14ac:dyDescent="0.3">
      <c r="A211" t="s">
        <v>504</v>
      </c>
      <c r="B211" t="s">
        <v>508</v>
      </c>
      <c r="C211" t="s">
        <v>509</v>
      </c>
      <c r="D211" t="s">
        <v>504</v>
      </c>
      <c r="E211">
        <v>60</v>
      </c>
      <c r="G211">
        <v>21832.85</v>
      </c>
      <c r="H211" t="s">
        <v>510</v>
      </c>
      <c r="I211" t="s">
        <v>11</v>
      </c>
      <c r="M211" s="22">
        <f t="shared" si="4"/>
        <v>45147</v>
      </c>
    </row>
    <row r="212" spans="1:13" x14ac:dyDescent="0.3">
      <c r="A212" t="s">
        <v>535</v>
      </c>
      <c r="B212" t="s">
        <v>563</v>
      </c>
      <c r="C212" t="s">
        <v>564</v>
      </c>
      <c r="D212" t="s">
        <v>535</v>
      </c>
      <c r="E212">
        <v>60</v>
      </c>
      <c r="G212">
        <v>22061.85</v>
      </c>
      <c r="H212" t="s">
        <v>565</v>
      </c>
      <c r="I212" t="s">
        <v>11</v>
      </c>
      <c r="M212" s="22">
        <f t="shared" si="4"/>
        <v>45149</v>
      </c>
    </row>
    <row r="213" spans="1:13" x14ac:dyDescent="0.3">
      <c r="A213" t="s">
        <v>580</v>
      </c>
      <c r="B213" t="s">
        <v>599</v>
      </c>
      <c r="C213" t="s">
        <v>600</v>
      </c>
      <c r="D213" t="s">
        <v>580</v>
      </c>
      <c r="E213">
        <v>60</v>
      </c>
      <c r="G213">
        <v>6292.79</v>
      </c>
      <c r="H213" t="s">
        <v>601</v>
      </c>
      <c r="I213" t="s">
        <v>11</v>
      </c>
      <c r="M213" s="22">
        <f t="shared" si="4"/>
        <v>45151</v>
      </c>
    </row>
    <row r="214" spans="1:13" x14ac:dyDescent="0.3">
      <c r="A214" t="s">
        <v>504</v>
      </c>
      <c r="B214" t="s">
        <v>523</v>
      </c>
      <c r="C214" t="s">
        <v>524</v>
      </c>
      <c r="D214" t="s">
        <v>504</v>
      </c>
      <c r="E214">
        <v>120</v>
      </c>
      <c r="G214">
        <v>20727.849999999999</v>
      </c>
      <c r="H214" t="s">
        <v>525</v>
      </c>
      <c r="I214" t="s">
        <v>11</v>
      </c>
      <c r="M214" s="22">
        <f t="shared" si="4"/>
        <v>45147</v>
      </c>
    </row>
    <row r="215" spans="1:13" x14ac:dyDescent="0.3">
      <c r="A215" t="s">
        <v>743</v>
      </c>
      <c r="B215" t="s">
        <v>751</v>
      </c>
      <c r="C215" t="s">
        <v>752</v>
      </c>
      <c r="D215" t="s">
        <v>743</v>
      </c>
      <c r="E215">
        <v>550</v>
      </c>
      <c r="G215">
        <v>5117.9399999999996</v>
      </c>
      <c r="H215" t="s">
        <v>753</v>
      </c>
      <c r="I215" t="s">
        <v>11</v>
      </c>
      <c r="M215" s="22">
        <f t="shared" si="4"/>
        <v>45127</v>
      </c>
    </row>
    <row r="216" spans="1:13" x14ac:dyDescent="0.3">
      <c r="A216" t="s">
        <v>942</v>
      </c>
      <c r="B216" t="s">
        <v>949</v>
      </c>
      <c r="C216" t="s">
        <v>950</v>
      </c>
      <c r="D216" t="s">
        <v>942</v>
      </c>
      <c r="E216">
        <v>102</v>
      </c>
      <c r="G216">
        <v>2856.17</v>
      </c>
      <c r="H216" t="s">
        <v>951</v>
      </c>
      <c r="I216" t="s">
        <v>11</v>
      </c>
      <c r="M216" s="22">
        <f t="shared" si="4"/>
        <v>45165</v>
      </c>
    </row>
    <row r="217" spans="1:13" x14ac:dyDescent="0.3">
      <c r="A217" t="s">
        <v>433</v>
      </c>
      <c r="B217" t="s">
        <v>449</v>
      </c>
      <c r="C217" t="s">
        <v>450</v>
      </c>
      <c r="D217" t="s">
        <v>433</v>
      </c>
      <c r="E217">
        <v>3500</v>
      </c>
      <c r="G217">
        <v>37109.85</v>
      </c>
      <c r="H217" t="s">
        <v>451</v>
      </c>
      <c r="I217" t="s">
        <v>11</v>
      </c>
      <c r="M217" s="22">
        <f t="shared" si="4"/>
        <v>45139</v>
      </c>
    </row>
    <row r="218" spans="1:13" x14ac:dyDescent="0.3">
      <c r="A218" t="s">
        <v>529</v>
      </c>
      <c r="B218" t="s">
        <v>530</v>
      </c>
      <c r="C218" t="s">
        <v>531</v>
      </c>
      <c r="D218" t="s">
        <v>529</v>
      </c>
      <c r="E218">
        <v>1</v>
      </c>
      <c r="G218">
        <v>20226.849999999999</v>
      </c>
      <c r="H218" t="s">
        <v>532</v>
      </c>
      <c r="I218" t="s">
        <v>11</v>
      </c>
      <c r="M218" s="22">
        <f t="shared" si="4"/>
        <v>45148</v>
      </c>
    </row>
    <row r="219" spans="1:13" x14ac:dyDescent="0.3">
      <c r="A219" t="s">
        <v>791</v>
      </c>
      <c r="B219" t="s">
        <v>795</v>
      </c>
      <c r="C219" t="s">
        <v>796</v>
      </c>
      <c r="D219" t="s">
        <v>791</v>
      </c>
      <c r="E219">
        <v>20</v>
      </c>
      <c r="G219">
        <v>6569.66</v>
      </c>
      <c r="H219" t="s">
        <v>797</v>
      </c>
      <c r="I219" t="s">
        <v>11</v>
      </c>
      <c r="M219" s="22">
        <f t="shared" si="4"/>
        <v>45133</v>
      </c>
    </row>
    <row r="220" spans="1:13" x14ac:dyDescent="0.3">
      <c r="A220" t="s">
        <v>433</v>
      </c>
      <c r="B220" t="s">
        <v>446</v>
      </c>
      <c r="C220" t="s">
        <v>447</v>
      </c>
      <c r="D220" t="s">
        <v>433</v>
      </c>
      <c r="E220">
        <v>20</v>
      </c>
      <c r="G220">
        <v>36609.85</v>
      </c>
      <c r="H220" t="s">
        <v>448</v>
      </c>
      <c r="I220" t="s">
        <v>11</v>
      </c>
      <c r="M220" s="22">
        <f t="shared" si="4"/>
        <v>45139</v>
      </c>
    </row>
    <row r="221" spans="1:13" x14ac:dyDescent="0.3">
      <c r="A221" t="s">
        <v>487</v>
      </c>
      <c r="B221" t="s">
        <v>491</v>
      </c>
      <c r="C221" t="s">
        <v>492</v>
      </c>
      <c r="D221" t="s">
        <v>487</v>
      </c>
      <c r="E221">
        <v>40</v>
      </c>
      <c r="G221">
        <v>21138.85</v>
      </c>
      <c r="H221" t="s">
        <v>493</v>
      </c>
      <c r="I221" t="s">
        <v>11</v>
      </c>
      <c r="M221" s="22">
        <f t="shared" si="4"/>
        <v>45145</v>
      </c>
    </row>
    <row r="222" spans="1:13" x14ac:dyDescent="0.3">
      <c r="A222" t="s">
        <v>885</v>
      </c>
      <c r="B222" t="s">
        <v>895</v>
      </c>
      <c r="C222" t="s">
        <v>896</v>
      </c>
      <c r="D222" t="s">
        <v>885</v>
      </c>
      <c r="E222">
        <v>20</v>
      </c>
      <c r="G222">
        <v>5177.17</v>
      </c>
      <c r="H222" t="s">
        <v>897</v>
      </c>
      <c r="I222" t="s">
        <v>11</v>
      </c>
      <c r="M222" s="22">
        <f t="shared" si="4"/>
        <v>45160</v>
      </c>
    </row>
    <row r="223" spans="1:13" x14ac:dyDescent="0.3">
      <c r="A223" t="s">
        <v>885</v>
      </c>
      <c r="B223" t="s">
        <v>902</v>
      </c>
      <c r="C223" t="s">
        <v>903</v>
      </c>
      <c r="D223" t="s">
        <v>885</v>
      </c>
      <c r="E223">
        <v>10</v>
      </c>
      <c r="G223">
        <v>4772.17</v>
      </c>
      <c r="H223" t="s">
        <v>904</v>
      </c>
      <c r="I223" t="s">
        <v>11</v>
      </c>
      <c r="M223" s="22">
        <f t="shared" si="4"/>
        <v>45160</v>
      </c>
    </row>
    <row r="224" spans="1:13" x14ac:dyDescent="0.3">
      <c r="A224" t="s">
        <v>905</v>
      </c>
      <c r="B224" t="s">
        <v>909</v>
      </c>
      <c r="C224" t="s">
        <v>910</v>
      </c>
      <c r="D224" t="s">
        <v>905</v>
      </c>
      <c r="E224">
        <v>10</v>
      </c>
      <c r="G224">
        <v>4747.17</v>
      </c>
      <c r="H224" t="s">
        <v>911</v>
      </c>
      <c r="I224" t="s">
        <v>11</v>
      </c>
      <c r="M224" s="22">
        <f t="shared" si="4"/>
        <v>45161</v>
      </c>
    </row>
    <row r="225" spans="1:13" x14ac:dyDescent="0.3">
      <c r="A225" t="s">
        <v>905</v>
      </c>
      <c r="B225" t="s">
        <v>912</v>
      </c>
      <c r="C225" t="s">
        <v>913</v>
      </c>
      <c r="D225" t="s">
        <v>905</v>
      </c>
      <c r="E225">
        <v>10</v>
      </c>
      <c r="G225">
        <v>4737.17</v>
      </c>
      <c r="H225" t="s">
        <v>914</v>
      </c>
      <c r="I225" t="s">
        <v>11</v>
      </c>
      <c r="M225" s="22">
        <f t="shared" si="4"/>
        <v>45161</v>
      </c>
    </row>
    <row r="226" spans="1:13" x14ac:dyDescent="0.3">
      <c r="A226" t="s">
        <v>905</v>
      </c>
      <c r="B226" t="s">
        <v>915</v>
      </c>
      <c r="C226" t="s">
        <v>916</v>
      </c>
      <c r="D226" t="s">
        <v>905</v>
      </c>
      <c r="E226">
        <v>70</v>
      </c>
      <c r="G226">
        <v>4667.17</v>
      </c>
      <c r="H226" t="s">
        <v>917</v>
      </c>
      <c r="I226" t="s">
        <v>11</v>
      </c>
      <c r="M226" s="22">
        <f t="shared" si="4"/>
        <v>45161</v>
      </c>
    </row>
    <row r="227" spans="1:13" x14ac:dyDescent="0.3">
      <c r="A227" t="s">
        <v>1250</v>
      </c>
      <c r="B227" t="s">
        <v>1254</v>
      </c>
      <c r="C227" t="s">
        <v>1255</v>
      </c>
      <c r="D227" t="s">
        <v>1250</v>
      </c>
      <c r="E227">
        <v>75</v>
      </c>
      <c r="G227">
        <v>11537.11</v>
      </c>
      <c r="H227" t="s">
        <v>1256</v>
      </c>
      <c r="I227" t="s">
        <v>11</v>
      </c>
      <c r="M227" s="22">
        <f t="shared" si="4"/>
        <v>45191</v>
      </c>
    </row>
    <row r="228" spans="1:13" x14ac:dyDescent="0.3">
      <c r="A228" t="s">
        <v>639</v>
      </c>
      <c r="B228" t="s">
        <v>640</v>
      </c>
      <c r="C228" t="s">
        <v>641</v>
      </c>
      <c r="D228" t="s">
        <v>639</v>
      </c>
      <c r="E228">
        <v>40</v>
      </c>
      <c r="G228">
        <v>4982.79</v>
      </c>
      <c r="H228" t="s">
        <v>642</v>
      </c>
      <c r="I228" t="s">
        <v>11</v>
      </c>
      <c r="M228" s="22">
        <f t="shared" si="4"/>
        <v>45154</v>
      </c>
    </row>
    <row r="229" spans="1:13" x14ac:dyDescent="0.3">
      <c r="A229" t="s">
        <v>639</v>
      </c>
      <c r="B229" t="s">
        <v>643</v>
      </c>
      <c r="C229" t="s">
        <v>644</v>
      </c>
      <c r="D229" t="s">
        <v>639</v>
      </c>
      <c r="E229">
        <v>45</v>
      </c>
      <c r="G229">
        <v>4937.79</v>
      </c>
      <c r="H229" t="s">
        <v>645</v>
      </c>
      <c r="I229" t="s">
        <v>11</v>
      </c>
      <c r="M229" s="22">
        <f t="shared" si="4"/>
        <v>45154</v>
      </c>
    </row>
    <row r="230" spans="1:13" x14ac:dyDescent="0.3">
      <c r="A230" t="s">
        <v>639</v>
      </c>
      <c r="B230" t="s">
        <v>646</v>
      </c>
      <c r="C230" t="s">
        <v>647</v>
      </c>
      <c r="D230" t="s">
        <v>639</v>
      </c>
      <c r="E230">
        <v>30</v>
      </c>
      <c r="G230">
        <v>4907.79</v>
      </c>
      <c r="H230" t="s">
        <v>648</v>
      </c>
      <c r="I230" t="s">
        <v>11</v>
      </c>
      <c r="M230" s="22">
        <f t="shared" si="4"/>
        <v>45154</v>
      </c>
    </row>
    <row r="231" spans="1:13" x14ac:dyDescent="0.3">
      <c r="A231" t="s">
        <v>971</v>
      </c>
      <c r="B231" t="s">
        <v>975</v>
      </c>
      <c r="C231" t="s">
        <v>976</v>
      </c>
      <c r="D231" t="s">
        <v>971</v>
      </c>
      <c r="E231">
        <v>75</v>
      </c>
      <c r="G231">
        <v>1537.17</v>
      </c>
      <c r="H231" t="s">
        <v>977</v>
      </c>
      <c r="I231" t="s">
        <v>11</v>
      </c>
      <c r="M231" s="22">
        <f t="shared" si="4"/>
        <v>45167</v>
      </c>
    </row>
    <row r="232" spans="1:13" x14ac:dyDescent="0.3">
      <c r="A232" t="s">
        <v>971</v>
      </c>
      <c r="B232" t="s">
        <v>978</v>
      </c>
      <c r="C232" t="s">
        <v>979</v>
      </c>
      <c r="D232" t="s">
        <v>971</v>
      </c>
      <c r="E232">
        <v>75</v>
      </c>
      <c r="G232">
        <v>1462.17</v>
      </c>
      <c r="H232" t="s">
        <v>980</v>
      </c>
      <c r="I232" t="s">
        <v>11</v>
      </c>
      <c r="M232" s="22">
        <f t="shared" si="4"/>
        <v>45167</v>
      </c>
    </row>
    <row r="233" spans="1:13" x14ac:dyDescent="0.3">
      <c r="A233" t="s">
        <v>971</v>
      </c>
      <c r="B233" t="s">
        <v>972</v>
      </c>
      <c r="C233" t="s">
        <v>973</v>
      </c>
      <c r="D233" t="s">
        <v>971</v>
      </c>
      <c r="E233">
        <v>40</v>
      </c>
      <c r="G233">
        <v>1612.17</v>
      </c>
      <c r="H233" t="s">
        <v>974</v>
      </c>
      <c r="I233" t="s">
        <v>11</v>
      </c>
      <c r="M233" s="22">
        <f t="shared" si="4"/>
        <v>45167</v>
      </c>
    </row>
    <row r="234" spans="1:13" x14ac:dyDescent="0.3">
      <c r="A234" t="s">
        <v>1130</v>
      </c>
      <c r="B234" t="s">
        <v>1137</v>
      </c>
      <c r="C234" t="s">
        <v>1138</v>
      </c>
      <c r="D234" t="s">
        <v>1130</v>
      </c>
      <c r="E234">
        <v>75</v>
      </c>
      <c r="G234">
        <v>10199.35</v>
      </c>
      <c r="H234" t="s">
        <v>1139</v>
      </c>
      <c r="I234" t="s">
        <v>11</v>
      </c>
      <c r="M234" s="22">
        <f t="shared" si="4"/>
        <v>45182</v>
      </c>
    </row>
    <row r="235" spans="1:13" x14ac:dyDescent="0.3">
      <c r="A235" t="s">
        <v>1130</v>
      </c>
      <c r="B235" t="s">
        <v>1140</v>
      </c>
      <c r="C235" t="s">
        <v>1141</v>
      </c>
      <c r="D235" t="s">
        <v>1130</v>
      </c>
      <c r="E235">
        <v>75</v>
      </c>
      <c r="G235">
        <v>10124.35</v>
      </c>
      <c r="H235" t="s">
        <v>1142</v>
      </c>
      <c r="I235" t="s">
        <v>11</v>
      </c>
      <c r="M235" s="22">
        <f t="shared" si="4"/>
        <v>45182</v>
      </c>
    </row>
    <row r="236" spans="1:13" x14ac:dyDescent="0.3">
      <c r="A236" t="s">
        <v>1130</v>
      </c>
      <c r="B236" t="s">
        <v>1143</v>
      </c>
      <c r="C236" t="s">
        <v>1144</v>
      </c>
      <c r="D236" t="s">
        <v>1130</v>
      </c>
      <c r="E236">
        <v>15</v>
      </c>
      <c r="G236">
        <v>10109.35</v>
      </c>
      <c r="H236" t="s">
        <v>1145</v>
      </c>
      <c r="I236" t="s">
        <v>11</v>
      </c>
      <c r="M236" s="22">
        <f t="shared" si="4"/>
        <v>45182</v>
      </c>
    </row>
    <row r="237" spans="1:13" x14ac:dyDescent="0.3">
      <c r="A237" t="s">
        <v>1130</v>
      </c>
      <c r="B237" t="s">
        <v>1154</v>
      </c>
      <c r="C237" t="s">
        <v>1155</v>
      </c>
      <c r="D237" t="s">
        <v>1130</v>
      </c>
      <c r="E237">
        <v>80</v>
      </c>
      <c r="G237">
        <v>8967.35</v>
      </c>
      <c r="H237" t="s">
        <v>1156</v>
      </c>
      <c r="I237" t="s">
        <v>11</v>
      </c>
      <c r="M237" s="22">
        <f t="shared" si="4"/>
        <v>45182</v>
      </c>
    </row>
    <row r="238" spans="1:13" x14ac:dyDescent="0.3">
      <c r="A238" t="s">
        <v>1219</v>
      </c>
      <c r="B238" t="s">
        <v>1220</v>
      </c>
      <c r="C238" t="s">
        <v>1221</v>
      </c>
      <c r="D238" t="s">
        <v>1219</v>
      </c>
      <c r="E238">
        <v>245</v>
      </c>
      <c r="G238">
        <v>743.25</v>
      </c>
      <c r="H238" t="s">
        <v>1222</v>
      </c>
      <c r="I238" t="s">
        <v>11</v>
      </c>
      <c r="M238" s="22">
        <f t="shared" si="4"/>
        <v>45189</v>
      </c>
    </row>
    <row r="239" spans="1:13" x14ac:dyDescent="0.3">
      <c r="A239" t="s">
        <v>1230</v>
      </c>
      <c r="B239" t="s">
        <v>1242</v>
      </c>
      <c r="C239" t="s">
        <v>1243</v>
      </c>
      <c r="D239" t="s">
        <v>1230</v>
      </c>
      <c r="E239">
        <v>95</v>
      </c>
      <c r="G239">
        <v>860.11</v>
      </c>
      <c r="H239" t="s">
        <v>1244</v>
      </c>
      <c r="I239" t="s">
        <v>11</v>
      </c>
      <c r="M239" s="22">
        <f t="shared" si="4"/>
        <v>45190</v>
      </c>
    </row>
    <row r="240" spans="1:13" x14ac:dyDescent="0.3">
      <c r="A240" t="s">
        <v>1250</v>
      </c>
      <c r="B240" t="s">
        <v>1257</v>
      </c>
      <c r="C240" t="s">
        <v>1258</v>
      </c>
      <c r="D240" t="s">
        <v>1250</v>
      </c>
      <c r="E240">
        <v>40</v>
      </c>
      <c r="G240">
        <v>11497.11</v>
      </c>
      <c r="H240" t="s">
        <v>1259</v>
      </c>
      <c r="I240" t="s">
        <v>11</v>
      </c>
      <c r="M240" s="22">
        <f t="shared" si="4"/>
        <v>45191</v>
      </c>
    </row>
    <row r="241" spans="1:13" x14ac:dyDescent="0.3">
      <c r="A241" t="s">
        <v>777</v>
      </c>
      <c r="B241" t="s">
        <v>778</v>
      </c>
      <c r="C241" t="s">
        <v>779</v>
      </c>
      <c r="D241" t="s">
        <v>777</v>
      </c>
      <c r="E241">
        <v>65</v>
      </c>
      <c r="G241">
        <v>3868.94</v>
      </c>
      <c r="H241" t="s">
        <v>780</v>
      </c>
      <c r="I241" t="s">
        <v>11</v>
      </c>
      <c r="M241" s="22">
        <f t="shared" si="4"/>
        <v>45131</v>
      </c>
    </row>
    <row r="242" spans="1:13" x14ac:dyDescent="0.3">
      <c r="A242" t="s">
        <v>958</v>
      </c>
      <c r="B242" t="s">
        <v>962</v>
      </c>
      <c r="C242" t="s">
        <v>963</v>
      </c>
      <c r="D242" t="s">
        <v>958</v>
      </c>
      <c r="E242">
        <v>100</v>
      </c>
      <c r="G242">
        <v>1302.17</v>
      </c>
      <c r="H242" t="s">
        <v>964</v>
      </c>
      <c r="I242" t="s">
        <v>11</v>
      </c>
      <c r="M242" s="22">
        <f t="shared" si="4"/>
        <v>45166</v>
      </c>
    </row>
    <row r="243" spans="1:13" x14ac:dyDescent="0.3">
      <c r="A243" t="s">
        <v>73</v>
      </c>
      <c r="B243" t="s">
        <v>1345</v>
      </c>
      <c r="C243" t="s">
        <v>74</v>
      </c>
      <c r="D243" t="s">
        <v>73</v>
      </c>
      <c r="F243">
        <v>1147</v>
      </c>
      <c r="G243">
        <v>44326.96</v>
      </c>
      <c r="H243" t="s">
        <v>75</v>
      </c>
      <c r="I243" t="s">
        <v>11</v>
      </c>
      <c r="M243" s="22">
        <f t="shared" si="4"/>
        <v>45109</v>
      </c>
    </row>
    <row r="244" spans="1:13" x14ac:dyDescent="0.3">
      <c r="A244" t="s">
        <v>231</v>
      </c>
      <c r="B244" t="s">
        <v>1345</v>
      </c>
      <c r="C244" t="s">
        <v>237</v>
      </c>
      <c r="D244" t="s">
        <v>231</v>
      </c>
      <c r="F244">
        <v>13250</v>
      </c>
      <c r="G244">
        <v>39976.559999999998</v>
      </c>
      <c r="H244" t="s">
        <v>238</v>
      </c>
      <c r="I244" t="s">
        <v>11</v>
      </c>
      <c r="M244" s="22">
        <f t="shared" si="4"/>
        <v>45118</v>
      </c>
    </row>
    <row r="245" spans="1:13" x14ac:dyDescent="0.3">
      <c r="A245" t="s">
        <v>837</v>
      </c>
      <c r="B245" t="s">
        <v>1345</v>
      </c>
      <c r="C245" t="s">
        <v>838</v>
      </c>
      <c r="D245" t="s">
        <v>837</v>
      </c>
      <c r="F245">
        <v>9351</v>
      </c>
      <c r="G245">
        <v>52110.85</v>
      </c>
      <c r="H245" t="s">
        <v>839</v>
      </c>
      <c r="I245" t="s">
        <v>11</v>
      </c>
      <c r="M245" s="22">
        <f t="shared" si="4"/>
        <v>45138</v>
      </c>
    </row>
    <row r="246" spans="1:13" x14ac:dyDescent="0.3">
      <c r="A246" t="s">
        <v>1026</v>
      </c>
      <c r="B246" t="s">
        <v>1345</v>
      </c>
      <c r="C246" t="s">
        <v>1027</v>
      </c>
      <c r="D246" t="s">
        <v>1026</v>
      </c>
      <c r="F246">
        <v>3000</v>
      </c>
      <c r="G246">
        <v>22836.17</v>
      </c>
      <c r="H246" t="s">
        <v>1028</v>
      </c>
      <c r="I246" t="s">
        <v>11</v>
      </c>
      <c r="M246" s="22">
        <f t="shared" si="4"/>
        <v>45172</v>
      </c>
    </row>
    <row r="247" spans="1:13" x14ac:dyDescent="0.3">
      <c r="A247" t="s">
        <v>104</v>
      </c>
      <c r="B247" t="s">
        <v>1345</v>
      </c>
      <c r="C247" t="s">
        <v>117</v>
      </c>
      <c r="D247" t="s">
        <v>104</v>
      </c>
      <c r="E247">
        <v>4000</v>
      </c>
      <c r="G247">
        <v>2459.46</v>
      </c>
      <c r="H247" t="s">
        <v>118</v>
      </c>
      <c r="I247" t="s">
        <v>11</v>
      </c>
      <c r="M247" s="22">
        <f t="shared" si="4"/>
        <v>45112</v>
      </c>
    </row>
    <row r="248" spans="1:13" x14ac:dyDescent="0.3">
      <c r="A248" t="s">
        <v>142</v>
      </c>
      <c r="B248" t="s">
        <v>1345</v>
      </c>
      <c r="C248" t="s">
        <v>156</v>
      </c>
      <c r="D248" t="s">
        <v>142</v>
      </c>
      <c r="E248">
        <v>49000</v>
      </c>
      <c r="G248">
        <v>-49111.44</v>
      </c>
      <c r="H248" t="s">
        <v>157</v>
      </c>
      <c r="I248" t="s">
        <v>11</v>
      </c>
      <c r="M248" s="22">
        <f t="shared" si="4"/>
        <v>45115</v>
      </c>
    </row>
    <row r="249" spans="1:13" x14ac:dyDescent="0.3">
      <c r="A249" t="s">
        <v>481</v>
      </c>
      <c r="B249" t="s">
        <v>1345</v>
      </c>
      <c r="C249" t="s">
        <v>482</v>
      </c>
      <c r="D249" t="s">
        <v>481</v>
      </c>
      <c r="F249">
        <v>2000</v>
      </c>
      <c r="G249">
        <v>23330.85</v>
      </c>
      <c r="H249" t="s">
        <v>483</v>
      </c>
      <c r="I249" t="s">
        <v>11</v>
      </c>
      <c r="M249" s="22">
        <f t="shared" si="4"/>
        <v>45144</v>
      </c>
    </row>
    <row r="250" spans="1:13" x14ac:dyDescent="0.3">
      <c r="A250" t="s">
        <v>605</v>
      </c>
      <c r="B250" t="s">
        <v>1345</v>
      </c>
      <c r="C250" t="s">
        <v>609</v>
      </c>
      <c r="D250" t="s">
        <v>605</v>
      </c>
      <c r="E250">
        <v>120</v>
      </c>
      <c r="G250">
        <v>6072.79</v>
      </c>
      <c r="H250" t="s">
        <v>610</v>
      </c>
      <c r="I250" t="s">
        <v>11</v>
      </c>
      <c r="M250" s="22">
        <f t="shared" si="4"/>
        <v>45152</v>
      </c>
    </row>
    <row r="251" spans="1:13" x14ac:dyDescent="0.3">
      <c r="A251" t="s">
        <v>994</v>
      </c>
      <c r="B251" t="s">
        <v>1345</v>
      </c>
      <c r="C251" t="s">
        <v>995</v>
      </c>
      <c r="D251" t="s">
        <v>994</v>
      </c>
      <c r="E251">
        <v>20000</v>
      </c>
      <c r="G251">
        <v>35346.17</v>
      </c>
      <c r="H251" t="s">
        <v>996</v>
      </c>
      <c r="I251" t="s">
        <v>11</v>
      </c>
      <c r="M251" s="22">
        <f t="shared" si="4"/>
        <v>45169</v>
      </c>
    </row>
    <row r="252" spans="1:13" x14ac:dyDescent="0.3">
      <c r="A252" t="s">
        <v>1079</v>
      </c>
      <c r="B252" t="s">
        <v>1345</v>
      </c>
      <c r="C252" t="s">
        <v>1080</v>
      </c>
      <c r="D252" t="s">
        <v>1079</v>
      </c>
      <c r="E252">
        <v>17416</v>
      </c>
      <c r="G252">
        <v>11436.67</v>
      </c>
      <c r="H252" t="s">
        <v>1081</v>
      </c>
      <c r="I252" t="s">
        <v>11</v>
      </c>
      <c r="M252" s="22">
        <f t="shared" si="4"/>
        <v>45175</v>
      </c>
    </row>
    <row r="253" spans="1:13" x14ac:dyDescent="0.3">
      <c r="A253" t="s">
        <v>1230</v>
      </c>
      <c r="B253" t="s">
        <v>1345</v>
      </c>
      <c r="C253" t="s">
        <v>1245</v>
      </c>
      <c r="D253" t="s">
        <v>1230</v>
      </c>
      <c r="F253">
        <v>11000</v>
      </c>
      <c r="G253">
        <v>11860.11</v>
      </c>
      <c r="H253" t="s">
        <v>1246</v>
      </c>
      <c r="I253" t="s">
        <v>11</v>
      </c>
      <c r="M253" s="22">
        <f t="shared" si="4"/>
        <v>45190</v>
      </c>
    </row>
    <row r="254" spans="1:13" x14ac:dyDescent="0.3">
      <c r="A254" t="s">
        <v>42</v>
      </c>
      <c r="B254" t="s">
        <v>1345</v>
      </c>
      <c r="C254" t="s">
        <v>59</v>
      </c>
      <c r="D254" t="s">
        <v>42</v>
      </c>
      <c r="F254">
        <v>13500</v>
      </c>
      <c r="G254">
        <v>60935.96</v>
      </c>
      <c r="H254" t="s">
        <v>60</v>
      </c>
      <c r="I254" t="s">
        <v>11</v>
      </c>
      <c r="M254" s="22">
        <f t="shared" si="4"/>
        <v>45108</v>
      </c>
    </row>
    <row r="255" spans="1:13" x14ac:dyDescent="0.3">
      <c r="A255" t="s">
        <v>566</v>
      </c>
      <c r="B255" t="s">
        <v>1345</v>
      </c>
      <c r="C255" t="s">
        <v>570</v>
      </c>
      <c r="D255" t="s">
        <v>566</v>
      </c>
      <c r="F255">
        <v>13250</v>
      </c>
      <c r="G255">
        <v>47811.85</v>
      </c>
      <c r="H255" t="s">
        <v>571</v>
      </c>
      <c r="I255" t="s">
        <v>11</v>
      </c>
      <c r="M255" s="22">
        <f t="shared" si="4"/>
        <v>45150</v>
      </c>
    </row>
    <row r="256" spans="1:13" x14ac:dyDescent="0.3">
      <c r="A256" t="s">
        <v>605</v>
      </c>
      <c r="B256" t="s">
        <v>1345</v>
      </c>
      <c r="C256" t="s">
        <v>611</v>
      </c>
      <c r="D256" t="s">
        <v>605</v>
      </c>
      <c r="F256">
        <v>120</v>
      </c>
      <c r="G256">
        <v>6192.79</v>
      </c>
      <c r="H256" t="s">
        <v>612</v>
      </c>
      <c r="I256" t="s">
        <v>11</v>
      </c>
      <c r="M256" s="22">
        <f t="shared" si="4"/>
        <v>45152</v>
      </c>
    </row>
    <row r="257" spans="1:13" x14ac:dyDescent="0.3">
      <c r="A257" t="s">
        <v>605</v>
      </c>
      <c r="B257" t="s">
        <v>1345</v>
      </c>
      <c r="C257" t="s">
        <v>615</v>
      </c>
      <c r="D257" t="s">
        <v>605</v>
      </c>
      <c r="F257">
        <v>160</v>
      </c>
      <c r="G257">
        <v>6472.79</v>
      </c>
      <c r="H257" t="s">
        <v>616</v>
      </c>
      <c r="I257" t="s">
        <v>11</v>
      </c>
      <c r="M257" s="22">
        <f t="shared" si="4"/>
        <v>45152</v>
      </c>
    </row>
    <row r="258" spans="1:13" x14ac:dyDescent="0.3">
      <c r="A258" t="s">
        <v>605</v>
      </c>
      <c r="B258" t="s">
        <v>1345</v>
      </c>
      <c r="C258" t="s">
        <v>613</v>
      </c>
      <c r="D258" t="s">
        <v>605</v>
      </c>
      <c r="F258">
        <v>120</v>
      </c>
      <c r="G258">
        <v>6312.79</v>
      </c>
      <c r="H258" t="s">
        <v>614</v>
      </c>
      <c r="I258" t="s">
        <v>11</v>
      </c>
      <c r="M258" s="22">
        <f t="shared" si="4"/>
        <v>45152</v>
      </c>
    </row>
    <row r="259" spans="1:13" x14ac:dyDescent="0.3">
      <c r="A259" t="s">
        <v>1121</v>
      </c>
      <c r="B259" t="s">
        <v>1345</v>
      </c>
      <c r="C259" t="s">
        <v>1122</v>
      </c>
      <c r="D259" t="s">
        <v>1121</v>
      </c>
      <c r="F259">
        <v>30950</v>
      </c>
      <c r="G259">
        <v>38872.35</v>
      </c>
      <c r="H259" t="s">
        <v>1123</v>
      </c>
      <c r="I259" t="s">
        <v>11</v>
      </c>
      <c r="M259" s="22">
        <f t="shared" si="4"/>
        <v>45181</v>
      </c>
    </row>
    <row r="260" spans="1:13" x14ac:dyDescent="0.3">
      <c r="A260" t="s">
        <v>1095</v>
      </c>
      <c r="B260" t="s">
        <v>1096</v>
      </c>
      <c r="C260" t="s">
        <v>1097</v>
      </c>
      <c r="D260" t="s">
        <v>1095</v>
      </c>
      <c r="E260">
        <v>50</v>
      </c>
      <c r="G260">
        <v>11344.35</v>
      </c>
      <c r="H260" t="s">
        <v>1098</v>
      </c>
      <c r="I260" t="s">
        <v>11</v>
      </c>
      <c r="M260" s="22">
        <f t="shared" si="4"/>
        <v>45177</v>
      </c>
    </row>
    <row r="261" spans="1:13" x14ac:dyDescent="0.3">
      <c r="A261" t="s">
        <v>256</v>
      </c>
      <c r="B261" t="s">
        <v>260</v>
      </c>
      <c r="C261" t="s">
        <v>261</v>
      </c>
      <c r="D261" t="s">
        <v>256</v>
      </c>
      <c r="E261">
        <v>304</v>
      </c>
      <c r="G261">
        <v>10278.56</v>
      </c>
      <c r="H261" t="s">
        <v>262</v>
      </c>
      <c r="I261" t="s">
        <v>11</v>
      </c>
      <c r="M261" s="22">
        <f t="shared" si="4"/>
        <v>45122</v>
      </c>
    </row>
    <row r="262" spans="1:13" x14ac:dyDescent="0.3">
      <c r="A262" t="s">
        <v>639</v>
      </c>
      <c r="B262" t="s">
        <v>652</v>
      </c>
      <c r="C262" t="s">
        <v>653</v>
      </c>
      <c r="D262" t="s">
        <v>654</v>
      </c>
      <c r="E262">
        <v>308</v>
      </c>
      <c r="G262">
        <v>4529.79</v>
      </c>
      <c r="H262" t="s">
        <v>655</v>
      </c>
      <c r="I262" t="s">
        <v>11</v>
      </c>
      <c r="M262" s="22">
        <f t="shared" si="4"/>
        <v>45154</v>
      </c>
    </row>
    <row r="263" spans="1:13" x14ac:dyDescent="0.3">
      <c r="A263" t="s">
        <v>1032</v>
      </c>
      <c r="B263" t="s">
        <v>1033</v>
      </c>
      <c r="C263" t="s">
        <v>1034</v>
      </c>
      <c r="D263" t="s">
        <v>1032</v>
      </c>
      <c r="E263">
        <v>303</v>
      </c>
      <c r="G263">
        <v>19176.169999999998</v>
      </c>
      <c r="H263" t="s">
        <v>1035</v>
      </c>
      <c r="I263" t="s">
        <v>11</v>
      </c>
      <c r="M263" s="22">
        <f t="shared" si="4"/>
        <v>45173</v>
      </c>
    </row>
    <row r="264" spans="1:13" x14ac:dyDescent="0.3">
      <c r="A264" t="s">
        <v>1112</v>
      </c>
      <c r="B264" t="s">
        <v>1118</v>
      </c>
      <c r="C264" t="s">
        <v>1119</v>
      </c>
      <c r="D264" t="s">
        <v>1112</v>
      </c>
      <c r="E264">
        <v>383</v>
      </c>
      <c r="G264">
        <v>7922.35</v>
      </c>
      <c r="H264" t="s">
        <v>1120</v>
      </c>
      <c r="I264" t="s">
        <v>11</v>
      </c>
      <c r="M264" s="22">
        <f t="shared" si="4"/>
        <v>45180</v>
      </c>
    </row>
    <row r="265" spans="1:13" x14ac:dyDescent="0.3">
      <c r="A265" t="s">
        <v>1167</v>
      </c>
      <c r="B265" t="s">
        <v>1183</v>
      </c>
      <c r="C265" t="s">
        <v>1184</v>
      </c>
      <c r="D265" t="s">
        <v>1167</v>
      </c>
      <c r="E265">
        <v>574</v>
      </c>
      <c r="G265">
        <v>3549.25</v>
      </c>
      <c r="H265" t="s">
        <v>1185</v>
      </c>
      <c r="I265" t="s">
        <v>11</v>
      </c>
      <c r="M265" s="22">
        <f t="shared" si="4"/>
        <v>45185</v>
      </c>
    </row>
    <row r="266" spans="1:13" x14ac:dyDescent="0.3">
      <c r="A266" t="s">
        <v>39</v>
      </c>
      <c r="B266" t="s">
        <v>44</v>
      </c>
      <c r="C266" t="s">
        <v>45</v>
      </c>
      <c r="D266" t="s">
        <v>42</v>
      </c>
      <c r="E266">
        <v>230</v>
      </c>
      <c r="G266">
        <v>56071.01</v>
      </c>
      <c r="H266" t="s">
        <v>46</v>
      </c>
      <c r="I266" t="s">
        <v>11</v>
      </c>
      <c r="M266" s="22">
        <f t="shared" ref="M266:M329" si="5">IFERROR(DATEVALUE(A266),"")</f>
        <v>45107</v>
      </c>
    </row>
    <row r="267" spans="1:13" x14ac:dyDescent="0.3">
      <c r="A267" t="s">
        <v>42</v>
      </c>
      <c r="B267" t="s">
        <v>70</v>
      </c>
      <c r="C267" t="s">
        <v>71</v>
      </c>
      <c r="D267" t="s">
        <v>42</v>
      </c>
      <c r="E267">
        <v>956</v>
      </c>
      <c r="G267">
        <v>43179.96</v>
      </c>
      <c r="H267" t="s">
        <v>72</v>
      </c>
      <c r="I267" t="s">
        <v>11</v>
      </c>
      <c r="M267" s="22">
        <f t="shared" si="5"/>
        <v>45108</v>
      </c>
    </row>
    <row r="268" spans="1:13" x14ac:dyDescent="0.3">
      <c r="A268" t="s">
        <v>121</v>
      </c>
      <c r="B268" t="s">
        <v>132</v>
      </c>
      <c r="C268" t="s">
        <v>133</v>
      </c>
      <c r="D268" t="s">
        <v>121</v>
      </c>
      <c r="E268">
        <v>894</v>
      </c>
      <c r="G268">
        <v>820.56</v>
      </c>
      <c r="H268" t="s">
        <v>134</v>
      </c>
      <c r="I268" t="s">
        <v>11</v>
      </c>
      <c r="M268" s="22">
        <f t="shared" si="5"/>
        <v>45113</v>
      </c>
    </row>
    <row r="269" spans="1:13" x14ac:dyDescent="0.3">
      <c r="A269" t="s">
        <v>142</v>
      </c>
      <c r="B269" t="s">
        <v>158</v>
      </c>
      <c r="C269" t="s">
        <v>159</v>
      </c>
      <c r="D269" t="s">
        <v>142</v>
      </c>
      <c r="E269">
        <v>704</v>
      </c>
      <c r="G269">
        <v>-49815.44</v>
      </c>
      <c r="H269" t="s">
        <v>160</v>
      </c>
      <c r="I269" t="s">
        <v>11</v>
      </c>
      <c r="M269" s="22">
        <f t="shared" si="5"/>
        <v>45115</v>
      </c>
    </row>
    <row r="270" spans="1:13" x14ac:dyDescent="0.3">
      <c r="A270" t="s">
        <v>161</v>
      </c>
      <c r="B270" t="s">
        <v>178</v>
      </c>
      <c r="C270" t="s">
        <v>179</v>
      </c>
      <c r="D270" t="s">
        <v>161</v>
      </c>
      <c r="E270">
        <v>137</v>
      </c>
      <c r="G270">
        <v>8379.56</v>
      </c>
      <c r="H270" t="s">
        <v>180</v>
      </c>
      <c r="I270" t="s">
        <v>11</v>
      </c>
      <c r="M270" s="22">
        <f t="shared" si="5"/>
        <v>45116</v>
      </c>
    </row>
    <row r="271" spans="1:13" x14ac:dyDescent="0.3">
      <c r="A271" t="s">
        <v>231</v>
      </c>
      <c r="B271" t="s">
        <v>239</v>
      </c>
      <c r="C271" t="s">
        <v>240</v>
      </c>
      <c r="D271" t="s">
        <v>231</v>
      </c>
      <c r="E271">
        <v>1024</v>
      </c>
      <c r="G271">
        <v>38952.559999999998</v>
      </c>
      <c r="H271" t="s">
        <v>241</v>
      </c>
      <c r="I271" t="s">
        <v>11</v>
      </c>
      <c r="M271" s="22">
        <f t="shared" si="5"/>
        <v>45118</v>
      </c>
    </row>
    <row r="272" spans="1:13" x14ac:dyDescent="0.3">
      <c r="A272" t="s">
        <v>252</v>
      </c>
      <c r="B272" t="s">
        <v>253</v>
      </c>
      <c r="C272" t="s">
        <v>254</v>
      </c>
      <c r="D272" t="s">
        <v>252</v>
      </c>
      <c r="E272">
        <v>140</v>
      </c>
      <c r="G272">
        <v>11382.56</v>
      </c>
      <c r="H272" t="s">
        <v>255</v>
      </c>
      <c r="I272" t="s">
        <v>11</v>
      </c>
      <c r="M272" s="22">
        <f t="shared" si="5"/>
        <v>45121</v>
      </c>
    </row>
    <row r="273" spans="1:13" x14ac:dyDescent="0.3">
      <c r="A273" t="s">
        <v>263</v>
      </c>
      <c r="B273" t="s">
        <v>264</v>
      </c>
      <c r="C273" t="s">
        <v>265</v>
      </c>
      <c r="D273" t="s">
        <v>263</v>
      </c>
      <c r="E273">
        <v>380</v>
      </c>
      <c r="G273">
        <v>9898.56</v>
      </c>
      <c r="H273" t="s">
        <v>266</v>
      </c>
      <c r="I273" t="s">
        <v>11</v>
      </c>
      <c r="M273" s="22">
        <f t="shared" si="5"/>
        <v>45124</v>
      </c>
    </row>
    <row r="274" spans="1:13" x14ac:dyDescent="0.3">
      <c r="A274" t="s">
        <v>732</v>
      </c>
      <c r="B274" t="s">
        <v>741</v>
      </c>
      <c r="C274" t="s">
        <v>742</v>
      </c>
      <c r="D274" t="s">
        <v>743</v>
      </c>
      <c r="E274">
        <v>556</v>
      </c>
      <c r="G274">
        <v>5707.94</v>
      </c>
      <c r="H274" t="s">
        <v>744</v>
      </c>
      <c r="I274" t="s">
        <v>11</v>
      </c>
      <c r="M274" s="22">
        <f t="shared" si="5"/>
        <v>45126</v>
      </c>
    </row>
    <row r="275" spans="1:13" x14ac:dyDescent="0.3">
      <c r="A275" t="s">
        <v>773</v>
      </c>
      <c r="B275" t="s">
        <v>774</v>
      </c>
      <c r="C275" t="s">
        <v>775</v>
      </c>
      <c r="D275" t="s">
        <v>773</v>
      </c>
      <c r="E275">
        <v>419</v>
      </c>
      <c r="G275">
        <v>3933.94</v>
      </c>
      <c r="H275" t="s">
        <v>776</v>
      </c>
      <c r="I275" t="s">
        <v>11</v>
      </c>
      <c r="M275" s="22">
        <f t="shared" si="5"/>
        <v>45130</v>
      </c>
    </row>
    <row r="276" spans="1:13" x14ac:dyDescent="0.3">
      <c r="A276" t="s">
        <v>791</v>
      </c>
      <c r="B276" t="s">
        <v>792</v>
      </c>
      <c r="C276" t="s">
        <v>793</v>
      </c>
      <c r="D276" t="s">
        <v>791</v>
      </c>
      <c r="E276">
        <v>297</v>
      </c>
      <c r="G276">
        <v>3398.94</v>
      </c>
      <c r="H276" t="s">
        <v>794</v>
      </c>
      <c r="I276" t="s">
        <v>11</v>
      </c>
      <c r="M276" s="22">
        <f t="shared" si="5"/>
        <v>45133</v>
      </c>
    </row>
    <row r="277" spans="1:13" x14ac:dyDescent="0.3">
      <c r="A277" t="s">
        <v>819</v>
      </c>
      <c r="B277" t="s">
        <v>823</v>
      </c>
      <c r="C277" t="s">
        <v>824</v>
      </c>
      <c r="D277" t="s">
        <v>819</v>
      </c>
      <c r="E277">
        <v>577</v>
      </c>
      <c r="G277">
        <v>3042.85</v>
      </c>
      <c r="H277" t="s">
        <v>825</v>
      </c>
      <c r="I277" t="s">
        <v>11</v>
      </c>
      <c r="M277" s="22">
        <f t="shared" si="5"/>
        <v>45135</v>
      </c>
    </row>
    <row r="278" spans="1:13" x14ac:dyDescent="0.3">
      <c r="A278" t="s">
        <v>830</v>
      </c>
      <c r="B278" t="s">
        <v>831</v>
      </c>
      <c r="C278" t="s">
        <v>832</v>
      </c>
      <c r="D278" t="s">
        <v>830</v>
      </c>
      <c r="E278">
        <v>316</v>
      </c>
      <c r="G278">
        <v>25726.85</v>
      </c>
      <c r="H278" t="s">
        <v>833</v>
      </c>
      <c r="I278" t="s">
        <v>11</v>
      </c>
      <c r="M278" s="22">
        <f t="shared" si="5"/>
        <v>45137</v>
      </c>
    </row>
    <row r="279" spans="1:13" x14ac:dyDescent="0.3">
      <c r="A279" t="s">
        <v>837</v>
      </c>
      <c r="B279" t="s">
        <v>843</v>
      </c>
      <c r="C279" t="s">
        <v>844</v>
      </c>
      <c r="D279" t="s">
        <v>837</v>
      </c>
      <c r="E279">
        <v>469</v>
      </c>
      <c r="G279">
        <v>48041.85</v>
      </c>
      <c r="H279" t="s">
        <v>845</v>
      </c>
      <c r="I279" t="s">
        <v>11</v>
      </c>
      <c r="M279" s="22">
        <f t="shared" si="5"/>
        <v>45138</v>
      </c>
    </row>
    <row r="280" spans="1:13" x14ac:dyDescent="0.3">
      <c r="A280" t="s">
        <v>452</v>
      </c>
      <c r="B280" t="s">
        <v>456</v>
      </c>
      <c r="C280" t="s">
        <v>457</v>
      </c>
      <c r="D280" t="s">
        <v>452</v>
      </c>
      <c r="E280">
        <v>174</v>
      </c>
      <c r="G280">
        <v>19185.849999999999</v>
      </c>
      <c r="H280" t="s">
        <v>458</v>
      </c>
      <c r="I280" t="s">
        <v>11</v>
      </c>
      <c r="M280" s="22">
        <f t="shared" si="5"/>
        <v>45140</v>
      </c>
    </row>
    <row r="281" spans="1:13" x14ac:dyDescent="0.3">
      <c r="A281" t="s">
        <v>487</v>
      </c>
      <c r="B281" t="s">
        <v>497</v>
      </c>
      <c r="C281" t="s">
        <v>498</v>
      </c>
      <c r="D281" t="s">
        <v>487</v>
      </c>
      <c r="E281">
        <v>735</v>
      </c>
      <c r="G281">
        <v>20333.849999999999</v>
      </c>
      <c r="H281" t="s">
        <v>499</v>
      </c>
      <c r="I281" t="s">
        <v>11</v>
      </c>
      <c r="M281" s="22">
        <f t="shared" si="5"/>
        <v>45145</v>
      </c>
    </row>
    <row r="282" spans="1:13" x14ac:dyDescent="0.3">
      <c r="A282" t="s">
        <v>500</v>
      </c>
      <c r="B282" t="s">
        <v>501</v>
      </c>
      <c r="C282" t="s">
        <v>502</v>
      </c>
      <c r="D282" t="s">
        <v>500</v>
      </c>
      <c r="E282">
        <v>391</v>
      </c>
      <c r="G282">
        <v>21942.85</v>
      </c>
      <c r="H282" t="s">
        <v>503</v>
      </c>
      <c r="I282" t="s">
        <v>11</v>
      </c>
      <c r="M282" s="22">
        <f t="shared" si="5"/>
        <v>45146</v>
      </c>
    </row>
    <row r="283" spans="1:13" x14ac:dyDescent="0.3">
      <c r="A283" t="s">
        <v>566</v>
      </c>
      <c r="B283" t="s">
        <v>577</v>
      </c>
      <c r="C283" t="s">
        <v>578</v>
      </c>
      <c r="D283" t="s">
        <v>566</v>
      </c>
      <c r="E283">
        <v>193</v>
      </c>
      <c r="G283">
        <v>21869.85</v>
      </c>
      <c r="H283" t="s">
        <v>579</v>
      </c>
      <c r="I283" t="s">
        <v>11</v>
      </c>
      <c r="M283" s="22">
        <f t="shared" si="5"/>
        <v>45150</v>
      </c>
    </row>
    <row r="284" spans="1:13" x14ac:dyDescent="0.3">
      <c r="A284" t="s">
        <v>605</v>
      </c>
      <c r="B284" t="s">
        <v>620</v>
      </c>
      <c r="C284" t="s">
        <v>621</v>
      </c>
      <c r="D284" t="s">
        <v>605</v>
      </c>
      <c r="E284">
        <v>68</v>
      </c>
      <c r="G284">
        <v>6324.79</v>
      </c>
      <c r="H284" t="s">
        <v>622</v>
      </c>
      <c r="I284" t="s">
        <v>11</v>
      </c>
      <c r="M284" s="22">
        <f t="shared" si="5"/>
        <v>45152</v>
      </c>
    </row>
    <row r="285" spans="1:13" x14ac:dyDescent="0.3">
      <c r="A285" t="s">
        <v>605</v>
      </c>
      <c r="B285" t="s">
        <v>626</v>
      </c>
      <c r="C285" t="s">
        <v>627</v>
      </c>
      <c r="D285" t="s">
        <v>605</v>
      </c>
      <c r="E285">
        <v>584</v>
      </c>
      <c r="G285">
        <v>5920.79</v>
      </c>
      <c r="H285" t="s">
        <v>628</v>
      </c>
      <c r="I285" t="s">
        <v>11</v>
      </c>
      <c r="M285" s="22">
        <f t="shared" si="5"/>
        <v>45152</v>
      </c>
    </row>
    <row r="286" spans="1:13" x14ac:dyDescent="0.3">
      <c r="A286" t="s">
        <v>629</v>
      </c>
      <c r="B286" t="s">
        <v>630</v>
      </c>
      <c r="C286" t="s">
        <v>631</v>
      </c>
      <c r="D286" t="s">
        <v>629</v>
      </c>
      <c r="E286">
        <v>178</v>
      </c>
      <c r="G286">
        <v>5742.79</v>
      </c>
      <c r="H286" t="s">
        <v>632</v>
      </c>
      <c r="I286" t="s">
        <v>11</v>
      </c>
      <c r="M286" s="22">
        <f t="shared" si="5"/>
        <v>45153</v>
      </c>
    </row>
    <row r="287" spans="1:13" x14ac:dyDescent="0.3">
      <c r="A287" t="s">
        <v>864</v>
      </c>
      <c r="B287" t="s">
        <v>882</v>
      </c>
      <c r="C287" t="s">
        <v>883</v>
      </c>
      <c r="D287" t="s">
        <v>864</v>
      </c>
      <c r="E287">
        <v>219</v>
      </c>
      <c r="G287">
        <v>255.17</v>
      </c>
      <c r="H287" t="s">
        <v>884</v>
      </c>
      <c r="I287" t="s">
        <v>11</v>
      </c>
      <c r="M287" s="22">
        <f t="shared" si="5"/>
        <v>45159</v>
      </c>
    </row>
    <row r="288" spans="1:13" x14ac:dyDescent="0.3">
      <c r="A288" t="s">
        <v>971</v>
      </c>
      <c r="B288" t="s">
        <v>981</v>
      </c>
      <c r="C288" t="s">
        <v>982</v>
      </c>
      <c r="D288" t="s">
        <v>971</v>
      </c>
      <c r="E288">
        <v>580</v>
      </c>
      <c r="G288">
        <v>882.17</v>
      </c>
      <c r="H288" t="s">
        <v>983</v>
      </c>
      <c r="I288" t="s">
        <v>11</v>
      </c>
      <c r="M288" s="22">
        <f t="shared" si="5"/>
        <v>45167</v>
      </c>
    </row>
    <row r="289" spans="1:13" x14ac:dyDescent="0.3">
      <c r="A289" t="s">
        <v>994</v>
      </c>
      <c r="B289" t="s">
        <v>1003</v>
      </c>
      <c r="C289" t="s">
        <v>1004</v>
      </c>
      <c r="D289" t="s">
        <v>994</v>
      </c>
      <c r="E289">
        <v>554</v>
      </c>
      <c r="G289">
        <v>32715.17</v>
      </c>
      <c r="H289" t="s">
        <v>1005</v>
      </c>
      <c r="I289" t="s">
        <v>11</v>
      </c>
      <c r="M289" s="22">
        <f t="shared" si="5"/>
        <v>45169</v>
      </c>
    </row>
    <row r="290" spans="1:13" x14ac:dyDescent="0.3">
      <c r="A290" t="s">
        <v>1066</v>
      </c>
      <c r="B290" t="s">
        <v>1076</v>
      </c>
      <c r="C290" t="s">
        <v>1077</v>
      </c>
      <c r="D290" t="s">
        <v>1066</v>
      </c>
      <c r="E290">
        <v>635</v>
      </c>
      <c r="G290">
        <v>17436.669999999998</v>
      </c>
      <c r="H290" t="s">
        <v>1078</v>
      </c>
      <c r="I290" t="s">
        <v>11</v>
      </c>
      <c r="M290" s="22">
        <f t="shared" si="5"/>
        <v>45174</v>
      </c>
    </row>
    <row r="291" spans="1:13" x14ac:dyDescent="0.3">
      <c r="A291" t="s">
        <v>1130</v>
      </c>
      <c r="B291" t="s">
        <v>1131</v>
      </c>
      <c r="C291" t="s">
        <v>1132</v>
      </c>
      <c r="D291" t="s">
        <v>1130</v>
      </c>
      <c r="E291">
        <v>98</v>
      </c>
      <c r="G291">
        <v>11274.35</v>
      </c>
      <c r="H291" t="s">
        <v>1133</v>
      </c>
      <c r="I291" t="s">
        <v>11</v>
      </c>
      <c r="M291" s="22">
        <f t="shared" si="5"/>
        <v>45182</v>
      </c>
    </row>
    <row r="292" spans="1:13" x14ac:dyDescent="0.3">
      <c r="A292" t="s">
        <v>1189</v>
      </c>
      <c r="B292" t="s">
        <v>1196</v>
      </c>
      <c r="C292" t="s">
        <v>1197</v>
      </c>
      <c r="D292" t="s">
        <v>1189</v>
      </c>
      <c r="E292">
        <v>255</v>
      </c>
      <c r="G292">
        <v>2048.25</v>
      </c>
      <c r="H292" t="s">
        <v>1198</v>
      </c>
      <c r="I292" t="s">
        <v>11</v>
      </c>
      <c r="M292" s="22">
        <f t="shared" si="5"/>
        <v>45186</v>
      </c>
    </row>
    <row r="293" spans="1:13" x14ac:dyDescent="0.3">
      <c r="A293" t="s">
        <v>1199</v>
      </c>
      <c r="B293" t="s">
        <v>1203</v>
      </c>
      <c r="C293" t="s">
        <v>1204</v>
      </c>
      <c r="D293" t="s">
        <v>1205</v>
      </c>
      <c r="E293">
        <v>106</v>
      </c>
      <c r="G293">
        <v>1620.25</v>
      </c>
      <c r="H293" t="s">
        <v>1206</v>
      </c>
      <c r="I293" t="s">
        <v>11</v>
      </c>
      <c r="M293" s="22">
        <f t="shared" si="5"/>
        <v>45187</v>
      </c>
    </row>
    <row r="294" spans="1:13" x14ac:dyDescent="0.3">
      <c r="A294" t="s">
        <v>1230</v>
      </c>
      <c r="B294" t="s">
        <v>1247</v>
      </c>
      <c r="C294" t="s">
        <v>1248</v>
      </c>
      <c r="D294" t="s">
        <v>1230</v>
      </c>
      <c r="E294">
        <v>232</v>
      </c>
      <c r="G294">
        <v>11628.11</v>
      </c>
      <c r="H294" t="s">
        <v>1249</v>
      </c>
      <c r="I294" t="s">
        <v>11</v>
      </c>
      <c r="M294" s="22">
        <f t="shared" si="5"/>
        <v>45190</v>
      </c>
    </row>
    <row r="295" spans="1:13" x14ac:dyDescent="0.3">
      <c r="A295" t="s">
        <v>1276</v>
      </c>
      <c r="B295" t="s">
        <v>1277</v>
      </c>
      <c r="C295" t="s">
        <v>1278</v>
      </c>
      <c r="D295" t="s">
        <v>1276</v>
      </c>
      <c r="E295">
        <v>595</v>
      </c>
      <c r="G295">
        <v>1123.1099999999999</v>
      </c>
      <c r="H295" t="s">
        <v>1279</v>
      </c>
      <c r="I295" t="s">
        <v>11</v>
      </c>
      <c r="M295" s="22">
        <f t="shared" si="5"/>
        <v>45193</v>
      </c>
    </row>
    <row r="296" spans="1:13" x14ac:dyDescent="0.3">
      <c r="A296" t="s">
        <v>732</v>
      </c>
      <c r="B296" t="s">
        <v>733</v>
      </c>
      <c r="C296" t="s">
        <v>734</v>
      </c>
      <c r="D296" t="s">
        <v>732</v>
      </c>
      <c r="E296">
        <v>1519</v>
      </c>
      <c r="G296">
        <v>8103.94</v>
      </c>
      <c r="H296" t="s">
        <v>735</v>
      </c>
      <c r="I296" t="s">
        <v>11</v>
      </c>
      <c r="M296" s="22">
        <f t="shared" si="5"/>
        <v>45126</v>
      </c>
    </row>
    <row r="297" spans="1:13" x14ac:dyDescent="0.3">
      <c r="A297" t="s">
        <v>629</v>
      </c>
      <c r="B297" t="s">
        <v>633</v>
      </c>
      <c r="C297" t="s">
        <v>634</v>
      </c>
      <c r="D297" t="s">
        <v>629</v>
      </c>
      <c r="E297">
        <v>570</v>
      </c>
      <c r="G297">
        <v>5172.79</v>
      </c>
      <c r="H297" t="s">
        <v>635</v>
      </c>
      <c r="I297" t="s">
        <v>11</v>
      </c>
      <c r="M297" s="22">
        <f t="shared" si="5"/>
        <v>45153</v>
      </c>
    </row>
    <row r="298" spans="1:13" x14ac:dyDescent="0.3">
      <c r="A298" t="s">
        <v>1260</v>
      </c>
      <c r="B298" t="s">
        <v>1267</v>
      </c>
      <c r="C298" t="s">
        <v>1268</v>
      </c>
      <c r="D298" t="s">
        <v>1260</v>
      </c>
      <c r="E298">
        <v>940</v>
      </c>
      <c r="G298">
        <v>5622.11</v>
      </c>
      <c r="H298" t="s">
        <v>1269</v>
      </c>
      <c r="I298" t="s">
        <v>11</v>
      </c>
      <c r="M298" s="22">
        <f t="shared" si="5"/>
        <v>45192</v>
      </c>
    </row>
    <row r="299" spans="1:13" x14ac:dyDescent="0.3">
      <c r="A299" t="s">
        <v>1095</v>
      </c>
      <c r="B299" t="s">
        <v>1099</v>
      </c>
      <c r="C299" t="s">
        <v>1100</v>
      </c>
      <c r="D299" t="s">
        <v>1095</v>
      </c>
      <c r="E299">
        <v>2229</v>
      </c>
      <c r="G299">
        <v>9115.35</v>
      </c>
      <c r="H299" t="s">
        <v>1101</v>
      </c>
      <c r="I299" t="s">
        <v>11</v>
      </c>
      <c r="M299" s="22">
        <f t="shared" si="5"/>
        <v>45177</v>
      </c>
    </row>
    <row r="300" spans="1:13" x14ac:dyDescent="0.3">
      <c r="A300" t="s">
        <v>781</v>
      </c>
      <c r="B300" t="s">
        <v>788</v>
      </c>
      <c r="C300" t="s">
        <v>789</v>
      </c>
      <c r="D300" t="s">
        <v>781</v>
      </c>
      <c r="E300">
        <v>119</v>
      </c>
      <c r="G300">
        <v>3695.94</v>
      </c>
      <c r="H300" t="s">
        <v>790</v>
      </c>
      <c r="I300" t="s">
        <v>11</v>
      </c>
      <c r="M300" s="22">
        <f t="shared" si="5"/>
        <v>45132</v>
      </c>
    </row>
    <row r="301" spans="1:13" x14ac:dyDescent="0.3">
      <c r="A301" t="s">
        <v>925</v>
      </c>
      <c r="B301" t="s">
        <v>929</v>
      </c>
      <c r="C301" t="s">
        <v>930</v>
      </c>
      <c r="D301" t="s">
        <v>925</v>
      </c>
      <c r="E301">
        <v>119</v>
      </c>
      <c r="G301">
        <v>2936.17</v>
      </c>
      <c r="H301" t="s">
        <v>931</v>
      </c>
      <c r="I301" t="s">
        <v>11</v>
      </c>
      <c r="M301" s="22">
        <f t="shared" si="5"/>
        <v>45163</v>
      </c>
    </row>
    <row r="302" spans="1:13" x14ac:dyDescent="0.3">
      <c r="A302" t="s">
        <v>743</v>
      </c>
      <c r="B302" t="s">
        <v>748</v>
      </c>
      <c r="C302" t="s">
        <v>749</v>
      </c>
      <c r="D302" t="s">
        <v>743</v>
      </c>
      <c r="E302">
        <v>1200</v>
      </c>
      <c r="G302">
        <v>5667.94</v>
      </c>
      <c r="H302" t="s">
        <v>750</v>
      </c>
      <c r="I302" t="s">
        <v>11</v>
      </c>
      <c r="M302" s="22">
        <f t="shared" si="5"/>
        <v>45127</v>
      </c>
    </row>
    <row r="303" spans="1:13" x14ac:dyDescent="0.3">
      <c r="A303" t="s">
        <v>1319</v>
      </c>
      <c r="B303" t="s">
        <v>1326</v>
      </c>
      <c r="C303" t="s">
        <v>1327</v>
      </c>
      <c r="D303" t="s">
        <v>1319</v>
      </c>
      <c r="E303">
        <v>225</v>
      </c>
      <c r="G303">
        <v>55738.11</v>
      </c>
      <c r="H303" t="s">
        <v>1328</v>
      </c>
      <c r="I303" t="s">
        <v>11</v>
      </c>
      <c r="M303" s="22">
        <f t="shared" si="5"/>
        <v>45198</v>
      </c>
    </row>
    <row r="304" spans="1:13" x14ac:dyDescent="0.3">
      <c r="A304" t="s">
        <v>958</v>
      </c>
      <c r="B304" t="s">
        <v>965</v>
      </c>
      <c r="C304" t="s">
        <v>966</v>
      </c>
      <c r="D304" t="s">
        <v>958</v>
      </c>
      <c r="E304">
        <v>120</v>
      </c>
      <c r="G304">
        <v>1182.17</v>
      </c>
      <c r="H304" t="s">
        <v>967</v>
      </c>
      <c r="I304" t="s">
        <v>11</v>
      </c>
      <c r="M304" s="22">
        <f t="shared" si="5"/>
        <v>45166</v>
      </c>
    </row>
    <row r="305" spans="1:13" x14ac:dyDescent="0.3">
      <c r="A305" t="s">
        <v>1130</v>
      </c>
      <c r="B305" t="s">
        <v>1344</v>
      </c>
      <c r="C305" t="s">
        <v>1152</v>
      </c>
      <c r="D305" t="s">
        <v>1130</v>
      </c>
      <c r="F305">
        <v>120</v>
      </c>
      <c r="G305">
        <v>9047.35</v>
      </c>
      <c r="H305" t="s">
        <v>1153</v>
      </c>
      <c r="I305" t="s">
        <v>11</v>
      </c>
      <c r="M305" s="22">
        <f t="shared" si="5"/>
        <v>45182</v>
      </c>
    </row>
    <row r="306" spans="1:13" x14ac:dyDescent="0.3">
      <c r="A306" t="s">
        <v>732</v>
      </c>
      <c r="B306" t="s">
        <v>1344</v>
      </c>
      <c r="C306" t="s">
        <v>739</v>
      </c>
      <c r="D306" t="s">
        <v>732</v>
      </c>
      <c r="F306">
        <v>90</v>
      </c>
      <c r="G306">
        <v>8133.94</v>
      </c>
      <c r="H306" t="s">
        <v>740</v>
      </c>
      <c r="I306" t="s">
        <v>11</v>
      </c>
      <c r="M306" s="22">
        <f t="shared" si="5"/>
        <v>45126</v>
      </c>
    </row>
    <row r="307" spans="1:13" x14ac:dyDescent="0.3">
      <c r="A307" t="s">
        <v>684</v>
      </c>
      <c r="B307" t="s">
        <v>1344</v>
      </c>
      <c r="C307" t="s">
        <v>696</v>
      </c>
      <c r="D307" t="s">
        <v>684</v>
      </c>
      <c r="F307">
        <v>85</v>
      </c>
      <c r="G307">
        <v>914.79</v>
      </c>
      <c r="H307" t="s">
        <v>697</v>
      </c>
      <c r="I307" t="s">
        <v>11</v>
      </c>
      <c r="M307" s="22">
        <f t="shared" si="5"/>
        <v>45157</v>
      </c>
    </row>
    <row r="308" spans="1:13" x14ac:dyDescent="0.3">
      <c r="A308" t="s">
        <v>684</v>
      </c>
      <c r="B308" t="s">
        <v>1344</v>
      </c>
      <c r="C308" t="s">
        <v>704</v>
      </c>
      <c r="D308" t="s">
        <v>684</v>
      </c>
      <c r="F308">
        <v>10225</v>
      </c>
      <c r="G308">
        <v>11424.79</v>
      </c>
      <c r="H308" t="s">
        <v>705</v>
      </c>
      <c r="I308" t="s">
        <v>11</v>
      </c>
      <c r="M308" s="22">
        <f t="shared" si="5"/>
        <v>45157</v>
      </c>
    </row>
    <row r="309" spans="1:13" x14ac:dyDescent="0.3">
      <c r="A309" t="s">
        <v>684</v>
      </c>
      <c r="B309" t="s">
        <v>1344</v>
      </c>
      <c r="C309" t="s">
        <v>720</v>
      </c>
      <c r="D309" t="s">
        <v>684</v>
      </c>
      <c r="F309">
        <v>650</v>
      </c>
      <c r="G309">
        <v>4665.79</v>
      </c>
      <c r="H309" t="s">
        <v>721</v>
      </c>
      <c r="I309" t="s">
        <v>11</v>
      </c>
      <c r="M309" s="22">
        <f t="shared" si="5"/>
        <v>45157</v>
      </c>
    </row>
    <row r="310" spans="1:13" x14ac:dyDescent="0.3">
      <c r="A310" t="s">
        <v>849</v>
      </c>
      <c r="B310" t="s">
        <v>1344</v>
      </c>
      <c r="C310" t="s">
        <v>863</v>
      </c>
      <c r="D310" t="s">
        <v>864</v>
      </c>
      <c r="F310">
        <v>425</v>
      </c>
      <c r="G310">
        <v>28.17</v>
      </c>
      <c r="H310" t="s">
        <v>865</v>
      </c>
      <c r="I310" t="s">
        <v>11</v>
      </c>
      <c r="M310" s="22">
        <f t="shared" si="5"/>
        <v>45158</v>
      </c>
    </row>
    <row r="311" spans="1:13" x14ac:dyDescent="0.3">
      <c r="A311" t="s">
        <v>885</v>
      </c>
      <c r="B311" t="s">
        <v>1344</v>
      </c>
      <c r="C311" t="s">
        <v>898</v>
      </c>
      <c r="D311" t="s">
        <v>885</v>
      </c>
      <c r="E311">
        <v>100</v>
      </c>
      <c r="G311">
        <v>5077.17</v>
      </c>
      <c r="H311" t="s">
        <v>899</v>
      </c>
      <c r="I311" t="s">
        <v>11</v>
      </c>
      <c r="M311" s="22">
        <f t="shared" si="5"/>
        <v>45160</v>
      </c>
    </row>
    <row r="312" spans="1:13" x14ac:dyDescent="0.3">
      <c r="A312" t="s">
        <v>885</v>
      </c>
      <c r="B312" t="s">
        <v>1344</v>
      </c>
      <c r="C312" t="s">
        <v>900</v>
      </c>
      <c r="D312" t="s">
        <v>885</v>
      </c>
      <c r="E312">
        <v>295</v>
      </c>
      <c r="G312">
        <v>4782.17</v>
      </c>
      <c r="H312" t="s">
        <v>901</v>
      </c>
      <c r="I312" t="s">
        <v>11</v>
      </c>
      <c r="M312" s="22">
        <f t="shared" si="5"/>
        <v>45160</v>
      </c>
    </row>
    <row r="313" spans="1:13" x14ac:dyDescent="0.3">
      <c r="A313" t="s">
        <v>1112</v>
      </c>
      <c r="B313" t="s">
        <v>1344</v>
      </c>
      <c r="C313" t="s">
        <v>1116</v>
      </c>
      <c r="D313" t="s">
        <v>1112</v>
      </c>
      <c r="F313">
        <v>263</v>
      </c>
      <c r="G313">
        <v>8305.35</v>
      </c>
      <c r="H313" t="s">
        <v>1117</v>
      </c>
      <c r="I313" t="s">
        <v>11</v>
      </c>
      <c r="M313" s="22">
        <f t="shared" si="5"/>
        <v>45180</v>
      </c>
    </row>
    <row r="314" spans="1:13" x14ac:dyDescent="0.3">
      <c r="A314" t="s">
        <v>1230</v>
      </c>
      <c r="B314" t="s">
        <v>1344</v>
      </c>
      <c r="C314" t="s">
        <v>1240</v>
      </c>
      <c r="D314" t="s">
        <v>1230</v>
      </c>
      <c r="F314">
        <v>100</v>
      </c>
      <c r="G314">
        <v>955.11</v>
      </c>
      <c r="H314" t="s">
        <v>1241</v>
      </c>
      <c r="I314" t="s">
        <v>11</v>
      </c>
      <c r="M314" s="22">
        <f t="shared" si="5"/>
        <v>45190</v>
      </c>
    </row>
    <row r="315" spans="1:13" x14ac:dyDescent="0.3">
      <c r="A315" t="s">
        <v>1276</v>
      </c>
      <c r="B315" t="s">
        <v>1344</v>
      </c>
      <c r="C315" t="s">
        <v>1280</v>
      </c>
      <c r="D315" t="s">
        <v>1276</v>
      </c>
      <c r="F315">
        <v>1670</v>
      </c>
      <c r="G315">
        <v>2793.11</v>
      </c>
      <c r="H315" t="s">
        <v>1281</v>
      </c>
      <c r="I315" t="s">
        <v>11</v>
      </c>
      <c r="M315" s="22">
        <f t="shared" si="5"/>
        <v>45193</v>
      </c>
    </row>
    <row r="316" spans="1:13" x14ac:dyDescent="0.3">
      <c r="A316" t="s">
        <v>535</v>
      </c>
      <c r="B316" t="s">
        <v>545</v>
      </c>
      <c r="C316" t="s">
        <v>546</v>
      </c>
      <c r="D316" t="s">
        <v>535</v>
      </c>
      <c r="E316">
        <v>149</v>
      </c>
      <c r="G316">
        <v>22828.85</v>
      </c>
      <c r="H316" t="s">
        <v>547</v>
      </c>
      <c r="I316" t="s">
        <v>11</v>
      </c>
      <c r="M316" s="22">
        <f t="shared" si="5"/>
        <v>45149</v>
      </c>
    </row>
    <row r="317" spans="1:13" x14ac:dyDescent="0.3">
      <c r="A317" t="s">
        <v>535</v>
      </c>
      <c r="B317" t="s">
        <v>548</v>
      </c>
      <c r="C317" t="s">
        <v>549</v>
      </c>
      <c r="D317" t="s">
        <v>535</v>
      </c>
      <c r="E317">
        <v>437</v>
      </c>
      <c r="G317">
        <v>22391.85</v>
      </c>
      <c r="H317" t="s">
        <v>550</v>
      </c>
      <c r="I317" t="s">
        <v>11</v>
      </c>
      <c r="M317" s="22">
        <f t="shared" si="5"/>
        <v>45149</v>
      </c>
    </row>
    <row r="318" spans="1:13" x14ac:dyDescent="0.3">
      <c r="A318" t="s">
        <v>1157</v>
      </c>
      <c r="B318" t="s">
        <v>1161</v>
      </c>
      <c r="C318" t="s">
        <v>1162</v>
      </c>
      <c r="D318" t="s">
        <v>1157</v>
      </c>
      <c r="E318">
        <v>149</v>
      </c>
      <c r="G318">
        <v>5876.35</v>
      </c>
      <c r="H318" t="s">
        <v>1163</v>
      </c>
      <c r="I318" t="s">
        <v>11</v>
      </c>
      <c r="M318" s="22">
        <f t="shared" si="5"/>
        <v>45183</v>
      </c>
    </row>
    <row r="319" spans="1:13" x14ac:dyDescent="0.3">
      <c r="A319" t="s">
        <v>535</v>
      </c>
      <c r="B319" t="s">
        <v>551</v>
      </c>
      <c r="C319" t="s">
        <v>552</v>
      </c>
      <c r="D319" t="s">
        <v>535</v>
      </c>
      <c r="F319">
        <v>437</v>
      </c>
      <c r="G319">
        <v>22828.85</v>
      </c>
      <c r="H319" t="s">
        <v>553</v>
      </c>
      <c r="I319" t="s">
        <v>11</v>
      </c>
      <c r="M319" s="22">
        <f t="shared" si="5"/>
        <v>45149</v>
      </c>
    </row>
    <row r="320" spans="1:13" x14ac:dyDescent="0.3">
      <c r="A320" t="s">
        <v>104</v>
      </c>
      <c r="B320" t="s">
        <v>119</v>
      </c>
      <c r="C320" t="s">
        <v>120</v>
      </c>
      <c r="D320" t="s">
        <v>121</v>
      </c>
      <c r="E320">
        <v>257</v>
      </c>
      <c r="G320">
        <v>2202.46</v>
      </c>
      <c r="H320" t="s">
        <v>122</v>
      </c>
      <c r="I320" t="s">
        <v>11</v>
      </c>
      <c r="M320" s="22">
        <f t="shared" si="5"/>
        <v>45112</v>
      </c>
    </row>
    <row r="321" spans="1:13" x14ac:dyDescent="0.3">
      <c r="A321" t="s">
        <v>1167</v>
      </c>
      <c r="B321" t="s">
        <v>1174</v>
      </c>
      <c r="C321" t="s">
        <v>1175</v>
      </c>
      <c r="D321" t="s">
        <v>1167</v>
      </c>
      <c r="E321">
        <v>265</v>
      </c>
      <c r="G321">
        <v>4553.25</v>
      </c>
      <c r="H321" t="s">
        <v>1176</v>
      </c>
      <c r="I321" t="s">
        <v>11</v>
      </c>
      <c r="M321" s="22">
        <f t="shared" si="5"/>
        <v>45185</v>
      </c>
    </row>
    <row r="322" spans="1:13" x14ac:dyDescent="0.3">
      <c r="A322" t="s">
        <v>1019</v>
      </c>
      <c r="B322" t="s">
        <v>1023</v>
      </c>
      <c r="C322" t="s">
        <v>1024</v>
      </c>
      <c r="D322" t="s">
        <v>1019</v>
      </c>
      <c r="E322">
        <v>365</v>
      </c>
      <c r="G322">
        <v>19836.169999999998</v>
      </c>
      <c r="H322" t="s">
        <v>1025</v>
      </c>
      <c r="I322" t="s">
        <v>11</v>
      </c>
      <c r="M322" s="22">
        <f t="shared" si="5"/>
        <v>45171</v>
      </c>
    </row>
    <row r="323" spans="1:13" x14ac:dyDescent="0.3">
      <c r="A323" t="s">
        <v>1032</v>
      </c>
      <c r="B323" t="s">
        <v>1054</v>
      </c>
      <c r="C323" t="s">
        <v>1055</v>
      </c>
      <c r="D323" t="s">
        <v>1032</v>
      </c>
      <c r="E323">
        <v>582</v>
      </c>
      <c r="G323">
        <v>20499.169999999998</v>
      </c>
      <c r="H323" t="s">
        <v>1056</v>
      </c>
      <c r="I323" t="s">
        <v>11</v>
      </c>
      <c r="M323" s="22">
        <f t="shared" si="5"/>
        <v>45173</v>
      </c>
    </row>
    <row r="324" spans="1:13" x14ac:dyDescent="0.3">
      <c r="A324" t="s">
        <v>918</v>
      </c>
      <c r="B324" t="s">
        <v>922</v>
      </c>
      <c r="C324" t="s">
        <v>923</v>
      </c>
      <c r="D324" t="s">
        <v>918</v>
      </c>
      <c r="E324">
        <v>863</v>
      </c>
      <c r="G324">
        <v>3479.17</v>
      </c>
      <c r="H324" t="s">
        <v>924</v>
      </c>
      <c r="I324" t="s">
        <v>11</v>
      </c>
      <c r="M324" s="22">
        <f t="shared" si="5"/>
        <v>45162</v>
      </c>
    </row>
    <row r="325" spans="1:13" x14ac:dyDescent="0.3">
      <c r="A325" t="s">
        <v>1032</v>
      </c>
      <c r="B325" t="s">
        <v>1060</v>
      </c>
      <c r="C325" t="s">
        <v>1061</v>
      </c>
      <c r="D325" t="s">
        <v>1032</v>
      </c>
      <c r="E325">
        <v>283</v>
      </c>
      <c r="G325">
        <v>20136.169999999998</v>
      </c>
      <c r="H325" t="s">
        <v>1062</v>
      </c>
      <c r="I325" t="s">
        <v>11</v>
      </c>
      <c r="M325" s="22">
        <f t="shared" si="5"/>
        <v>45173</v>
      </c>
    </row>
    <row r="326" spans="1:13" x14ac:dyDescent="0.3">
      <c r="A326" t="s">
        <v>1189</v>
      </c>
      <c r="B326" t="s">
        <v>1190</v>
      </c>
      <c r="C326" t="s">
        <v>1191</v>
      </c>
      <c r="D326" t="s">
        <v>1189</v>
      </c>
      <c r="E326">
        <v>303</v>
      </c>
      <c r="G326">
        <v>2503.25</v>
      </c>
      <c r="H326" t="s">
        <v>1192</v>
      </c>
      <c r="I326" t="s">
        <v>11</v>
      </c>
      <c r="M326" s="22">
        <f t="shared" si="5"/>
        <v>45186</v>
      </c>
    </row>
    <row r="327" spans="1:13" x14ac:dyDescent="0.3">
      <c r="A327" t="s">
        <v>1302</v>
      </c>
      <c r="B327" t="s">
        <v>1303</v>
      </c>
      <c r="C327" t="s">
        <v>1304</v>
      </c>
      <c r="D327" t="s">
        <v>1302</v>
      </c>
      <c r="E327">
        <v>269</v>
      </c>
      <c r="G327">
        <v>4355.1099999999997</v>
      </c>
      <c r="H327" t="s">
        <v>1305</v>
      </c>
      <c r="I327" t="s">
        <v>11</v>
      </c>
      <c r="M327" s="22">
        <f t="shared" si="5"/>
        <v>45196</v>
      </c>
    </row>
    <row r="328" spans="1:13" x14ac:dyDescent="0.3">
      <c r="A328" t="s">
        <v>535</v>
      </c>
      <c r="B328" t="s">
        <v>554</v>
      </c>
      <c r="C328" t="s">
        <v>555</v>
      </c>
      <c r="D328" t="s">
        <v>535</v>
      </c>
      <c r="E328">
        <v>437</v>
      </c>
      <c r="G328">
        <v>22391.85</v>
      </c>
      <c r="H328" t="s">
        <v>556</v>
      </c>
      <c r="I328" t="s">
        <v>11</v>
      </c>
      <c r="M328" s="22">
        <f t="shared" si="5"/>
        <v>45149</v>
      </c>
    </row>
    <row r="329" spans="1:13" x14ac:dyDescent="0.3">
      <c r="A329" t="s">
        <v>1167</v>
      </c>
      <c r="B329" t="s">
        <v>1186</v>
      </c>
      <c r="C329" t="s">
        <v>1187</v>
      </c>
      <c r="D329" t="s">
        <v>1167</v>
      </c>
      <c r="E329">
        <v>743</v>
      </c>
      <c r="G329">
        <v>2806.25</v>
      </c>
      <c r="H329" t="s">
        <v>1188</v>
      </c>
      <c r="I329" t="s">
        <v>11</v>
      </c>
      <c r="M329" s="22">
        <f t="shared" si="5"/>
        <v>45185</v>
      </c>
    </row>
    <row r="330" spans="1:13" x14ac:dyDescent="0.3">
      <c r="A330" t="s">
        <v>121</v>
      </c>
      <c r="B330" t="s">
        <v>135</v>
      </c>
      <c r="C330" t="s">
        <v>136</v>
      </c>
      <c r="D330" t="s">
        <v>121</v>
      </c>
      <c r="E330">
        <v>817</v>
      </c>
      <c r="G330">
        <v>3.56</v>
      </c>
      <c r="H330" t="s">
        <v>137</v>
      </c>
      <c r="I330" t="s">
        <v>11</v>
      </c>
      <c r="M330" s="22">
        <f t="shared" ref="M330:M375" si="6">IFERROR(DATEVALUE(A330),"")</f>
        <v>45113</v>
      </c>
    </row>
    <row r="331" spans="1:13" x14ac:dyDescent="0.3">
      <c r="A331" t="s">
        <v>459</v>
      </c>
      <c r="B331" t="s">
        <v>467</v>
      </c>
      <c r="C331" t="s">
        <v>468</v>
      </c>
      <c r="D331" t="s">
        <v>459</v>
      </c>
      <c r="E331">
        <v>277</v>
      </c>
      <c r="G331">
        <v>20574.849999999999</v>
      </c>
      <c r="H331" t="s">
        <v>469</v>
      </c>
      <c r="I331" t="s">
        <v>11</v>
      </c>
      <c r="M331" s="22">
        <f t="shared" si="6"/>
        <v>45142</v>
      </c>
    </row>
    <row r="332" spans="1:13" x14ac:dyDescent="0.3">
      <c r="A332" t="s">
        <v>504</v>
      </c>
      <c r="B332" t="s">
        <v>514</v>
      </c>
      <c r="C332" t="s">
        <v>515</v>
      </c>
      <c r="D332" t="s">
        <v>504</v>
      </c>
      <c r="E332">
        <v>430</v>
      </c>
      <c r="G332">
        <v>21402.85</v>
      </c>
      <c r="H332" t="s">
        <v>516</v>
      </c>
      <c r="I332" t="s">
        <v>11</v>
      </c>
      <c r="M332" s="22">
        <f t="shared" si="6"/>
        <v>45147</v>
      </c>
    </row>
    <row r="333" spans="1:13" x14ac:dyDescent="0.3">
      <c r="A333" t="s">
        <v>942</v>
      </c>
      <c r="B333" t="s">
        <v>955</v>
      </c>
      <c r="C333" t="s">
        <v>956</v>
      </c>
      <c r="D333" t="s">
        <v>942</v>
      </c>
      <c r="E333">
        <v>452</v>
      </c>
      <c r="G333">
        <v>1502.17</v>
      </c>
      <c r="H333" t="s">
        <v>957</v>
      </c>
      <c r="I333" t="s">
        <v>11</v>
      </c>
      <c r="M333" s="22">
        <f t="shared" si="6"/>
        <v>45165</v>
      </c>
    </row>
    <row r="334" spans="1:13" x14ac:dyDescent="0.3">
      <c r="A334" t="s">
        <v>987</v>
      </c>
      <c r="B334" t="s">
        <v>991</v>
      </c>
      <c r="C334" t="s">
        <v>992</v>
      </c>
      <c r="D334" t="s">
        <v>987</v>
      </c>
      <c r="E334">
        <v>174</v>
      </c>
      <c r="G334">
        <v>477.17</v>
      </c>
      <c r="H334" t="s">
        <v>993</v>
      </c>
      <c r="I334" t="s">
        <v>11</v>
      </c>
      <c r="M334" s="22">
        <f t="shared" si="6"/>
        <v>45168</v>
      </c>
    </row>
    <row r="335" spans="1:13" x14ac:dyDescent="0.3">
      <c r="A335" t="s">
        <v>1006</v>
      </c>
      <c r="B335" t="s">
        <v>1016</v>
      </c>
      <c r="C335" t="s">
        <v>1017</v>
      </c>
      <c r="D335" t="s">
        <v>1006</v>
      </c>
      <c r="E335">
        <v>614</v>
      </c>
      <c r="G335">
        <v>20701.169999999998</v>
      </c>
      <c r="H335" t="s">
        <v>1018</v>
      </c>
      <c r="I335" t="s">
        <v>11</v>
      </c>
      <c r="M335" s="22">
        <f t="shared" si="6"/>
        <v>45170</v>
      </c>
    </row>
    <row r="336" spans="1:13" x14ac:dyDescent="0.3">
      <c r="A336" t="s">
        <v>1199</v>
      </c>
      <c r="B336" t="s">
        <v>1200</v>
      </c>
      <c r="C336" t="s">
        <v>1201</v>
      </c>
      <c r="D336" t="s">
        <v>1199</v>
      </c>
      <c r="E336">
        <v>322</v>
      </c>
      <c r="G336">
        <v>1726.25</v>
      </c>
      <c r="H336" t="s">
        <v>1202</v>
      </c>
      <c r="I336" t="s">
        <v>11</v>
      </c>
      <c r="M336" s="22">
        <f t="shared" si="6"/>
        <v>45187</v>
      </c>
    </row>
    <row r="337" spans="1:13" x14ac:dyDescent="0.3">
      <c r="A337" t="s">
        <v>481</v>
      </c>
      <c r="B337" t="s">
        <v>484</v>
      </c>
      <c r="C337" t="s">
        <v>485</v>
      </c>
      <c r="D337" t="s">
        <v>481</v>
      </c>
      <c r="E337">
        <v>140</v>
      </c>
      <c r="G337">
        <v>23190.85</v>
      </c>
      <c r="H337" t="s">
        <v>486</v>
      </c>
      <c r="I337" t="s">
        <v>11</v>
      </c>
      <c r="M337" s="22">
        <f t="shared" si="6"/>
        <v>45144</v>
      </c>
    </row>
    <row r="338" spans="1:13" x14ac:dyDescent="0.3">
      <c r="A338" t="s">
        <v>684</v>
      </c>
      <c r="B338" t="s">
        <v>706</v>
      </c>
      <c r="C338" t="s">
        <v>707</v>
      </c>
      <c r="D338" t="s">
        <v>684</v>
      </c>
      <c r="F338">
        <v>10225</v>
      </c>
      <c r="G338">
        <v>21649.79</v>
      </c>
      <c r="H338" t="s">
        <v>708</v>
      </c>
      <c r="I338" t="s">
        <v>11</v>
      </c>
      <c r="M338" s="22">
        <f t="shared" si="6"/>
        <v>45157</v>
      </c>
    </row>
    <row r="339" spans="1:13" x14ac:dyDescent="0.3">
      <c r="A339" t="s">
        <v>684</v>
      </c>
      <c r="B339" t="s">
        <v>717</v>
      </c>
      <c r="C339" t="s">
        <v>718</v>
      </c>
      <c r="D339" t="s">
        <v>684</v>
      </c>
      <c r="F339">
        <v>650</v>
      </c>
      <c r="G339">
        <v>-784.21</v>
      </c>
      <c r="H339" t="s">
        <v>719</v>
      </c>
      <c r="I339" t="s">
        <v>11</v>
      </c>
      <c r="M339" s="22">
        <f t="shared" si="6"/>
        <v>45157</v>
      </c>
    </row>
    <row r="340" spans="1:13" x14ac:dyDescent="0.3">
      <c r="A340" t="s">
        <v>885</v>
      </c>
      <c r="B340" t="s">
        <v>886</v>
      </c>
      <c r="C340" t="s">
        <v>887</v>
      </c>
      <c r="D340" t="s">
        <v>885</v>
      </c>
      <c r="F340">
        <v>275</v>
      </c>
      <c r="G340">
        <v>530.16999999999996</v>
      </c>
      <c r="H340" t="s">
        <v>888</v>
      </c>
      <c r="I340" t="s">
        <v>11</v>
      </c>
      <c r="M340" s="22">
        <f t="shared" si="6"/>
        <v>45160</v>
      </c>
    </row>
    <row r="341" spans="1:13" x14ac:dyDescent="0.3">
      <c r="A341" t="s">
        <v>1167</v>
      </c>
      <c r="B341" t="s">
        <v>1180</v>
      </c>
      <c r="C341" t="s">
        <v>1181</v>
      </c>
      <c r="D341" t="s">
        <v>1167</v>
      </c>
      <c r="E341">
        <v>150</v>
      </c>
      <c r="G341">
        <v>4123.25</v>
      </c>
      <c r="H341" t="s">
        <v>1182</v>
      </c>
      <c r="I341" t="s">
        <v>11</v>
      </c>
      <c r="M341" s="22">
        <f t="shared" si="6"/>
        <v>45185</v>
      </c>
    </row>
    <row r="342" spans="1:13" x14ac:dyDescent="0.3">
      <c r="A342" t="s">
        <v>504</v>
      </c>
      <c r="B342" t="s">
        <v>517</v>
      </c>
      <c r="C342" t="s">
        <v>518</v>
      </c>
      <c r="D342" t="s">
        <v>504</v>
      </c>
      <c r="E342">
        <v>260</v>
      </c>
      <c r="G342">
        <v>21142.85</v>
      </c>
      <c r="H342" t="s">
        <v>519</v>
      </c>
      <c r="I342" t="s">
        <v>11</v>
      </c>
      <c r="M342" s="22">
        <f t="shared" si="6"/>
        <v>45147</v>
      </c>
    </row>
    <row r="343" spans="1:13" x14ac:dyDescent="0.3">
      <c r="A343" t="s">
        <v>504</v>
      </c>
      <c r="B343" t="s">
        <v>520</v>
      </c>
      <c r="C343" t="s">
        <v>521</v>
      </c>
      <c r="D343" t="s">
        <v>504</v>
      </c>
      <c r="E343">
        <v>295</v>
      </c>
      <c r="G343">
        <v>20847.849999999999</v>
      </c>
      <c r="H343" t="s">
        <v>522</v>
      </c>
      <c r="I343" t="s">
        <v>11</v>
      </c>
      <c r="M343" s="22">
        <f t="shared" si="6"/>
        <v>45147</v>
      </c>
    </row>
    <row r="344" spans="1:13" x14ac:dyDescent="0.3">
      <c r="A344" t="s">
        <v>580</v>
      </c>
      <c r="B344" t="s">
        <v>596</v>
      </c>
      <c r="C344" t="s">
        <v>597</v>
      </c>
      <c r="D344" t="s">
        <v>580</v>
      </c>
      <c r="E344">
        <v>201</v>
      </c>
      <c r="G344">
        <v>6352.79</v>
      </c>
      <c r="H344" t="s">
        <v>598</v>
      </c>
      <c r="I344" t="s">
        <v>11</v>
      </c>
      <c r="M344" s="22">
        <f t="shared" si="6"/>
        <v>45151</v>
      </c>
    </row>
    <row r="345" spans="1:13" x14ac:dyDescent="0.3">
      <c r="A345" t="s">
        <v>757</v>
      </c>
      <c r="B345" t="s">
        <v>767</v>
      </c>
      <c r="C345" t="s">
        <v>768</v>
      </c>
      <c r="D345" t="s">
        <v>757</v>
      </c>
      <c r="E345">
        <v>280</v>
      </c>
      <c r="G345">
        <v>25122.94</v>
      </c>
      <c r="H345" t="s">
        <v>769</v>
      </c>
      <c r="I345" t="s">
        <v>11</v>
      </c>
      <c r="M345" s="22">
        <f t="shared" si="6"/>
        <v>45128</v>
      </c>
    </row>
    <row r="346" spans="1:13" x14ac:dyDescent="0.3">
      <c r="A346" t="s">
        <v>757</v>
      </c>
      <c r="B346" t="s">
        <v>770</v>
      </c>
      <c r="C346" t="s">
        <v>771</v>
      </c>
      <c r="D346" t="s">
        <v>757</v>
      </c>
      <c r="E346">
        <v>170</v>
      </c>
      <c r="G346">
        <v>24952.94</v>
      </c>
      <c r="H346" t="s">
        <v>772</v>
      </c>
      <c r="I346" t="s">
        <v>11</v>
      </c>
      <c r="M346" s="22">
        <f t="shared" si="6"/>
        <v>45128</v>
      </c>
    </row>
    <row r="347" spans="1:13" x14ac:dyDescent="0.3">
      <c r="A347" t="s">
        <v>654</v>
      </c>
      <c r="B347" t="s">
        <v>674</v>
      </c>
      <c r="C347" t="s">
        <v>675</v>
      </c>
      <c r="D347" t="s">
        <v>654</v>
      </c>
      <c r="E347">
        <v>520</v>
      </c>
      <c r="G347">
        <v>3509.79</v>
      </c>
      <c r="H347" t="s">
        <v>676</v>
      </c>
      <c r="I347" t="s">
        <v>11</v>
      </c>
      <c r="J347" t="s">
        <v>196</v>
      </c>
      <c r="M347" s="22">
        <f t="shared" si="6"/>
        <v>45155</v>
      </c>
    </row>
    <row r="348" spans="1:13" x14ac:dyDescent="0.3">
      <c r="A348" t="s">
        <v>535</v>
      </c>
      <c r="B348" t="s">
        <v>560</v>
      </c>
      <c r="C348" t="s">
        <v>561</v>
      </c>
      <c r="D348" t="s">
        <v>535</v>
      </c>
      <c r="E348">
        <v>70</v>
      </c>
      <c r="G348">
        <v>22121.85</v>
      </c>
      <c r="H348" t="s">
        <v>562</v>
      </c>
      <c r="I348" t="s">
        <v>11</v>
      </c>
      <c r="M348" s="22">
        <f t="shared" si="6"/>
        <v>45149</v>
      </c>
    </row>
    <row r="349" spans="1:13" x14ac:dyDescent="0.3">
      <c r="A349" t="s">
        <v>161</v>
      </c>
      <c r="B349" t="s">
        <v>172</v>
      </c>
      <c r="C349" t="s">
        <v>173</v>
      </c>
      <c r="D349" t="s">
        <v>161</v>
      </c>
      <c r="E349">
        <v>600</v>
      </c>
      <c r="G349">
        <v>6402.56</v>
      </c>
      <c r="H349" t="s">
        <v>174</v>
      </c>
      <c r="I349" t="s">
        <v>11</v>
      </c>
      <c r="J349" t="s">
        <v>846</v>
      </c>
      <c r="M349" s="22">
        <f t="shared" si="6"/>
        <v>45116</v>
      </c>
    </row>
    <row r="350" spans="1:13" x14ac:dyDescent="0.3">
      <c r="A350" t="s">
        <v>73</v>
      </c>
      <c r="B350" t="s">
        <v>76</v>
      </c>
      <c r="C350" t="s">
        <v>77</v>
      </c>
      <c r="D350" t="s">
        <v>73</v>
      </c>
      <c r="E350">
        <v>17250</v>
      </c>
      <c r="G350">
        <v>24149.96</v>
      </c>
      <c r="H350" t="s">
        <v>78</v>
      </c>
      <c r="I350" t="s">
        <v>11</v>
      </c>
      <c r="M350" s="22">
        <f t="shared" si="6"/>
        <v>45109</v>
      </c>
    </row>
    <row r="351" spans="1:13" x14ac:dyDescent="0.3">
      <c r="A351" t="s">
        <v>142</v>
      </c>
      <c r="B351" t="s">
        <v>153</v>
      </c>
      <c r="C351" t="s">
        <v>154</v>
      </c>
      <c r="D351" t="s">
        <v>142</v>
      </c>
      <c r="E351">
        <v>7000</v>
      </c>
      <c r="G351">
        <v>-111.44</v>
      </c>
      <c r="H351" t="s">
        <v>155</v>
      </c>
      <c r="I351" t="s">
        <v>11</v>
      </c>
      <c r="M351" s="22">
        <f t="shared" si="6"/>
        <v>45115</v>
      </c>
    </row>
    <row r="352" spans="1:13" x14ac:dyDescent="0.3">
      <c r="A352" t="s">
        <v>837</v>
      </c>
      <c r="B352" t="s">
        <v>840</v>
      </c>
      <c r="C352" t="s">
        <v>841</v>
      </c>
      <c r="D352" t="s">
        <v>837</v>
      </c>
      <c r="E352">
        <v>3600</v>
      </c>
      <c r="G352">
        <v>48510.85</v>
      </c>
      <c r="H352" t="s">
        <v>842</v>
      </c>
      <c r="I352" t="s">
        <v>11</v>
      </c>
      <c r="M352" s="22">
        <f t="shared" si="6"/>
        <v>45138</v>
      </c>
    </row>
    <row r="353" spans="1:13" x14ac:dyDescent="0.3">
      <c r="A353" t="s">
        <v>452</v>
      </c>
      <c r="B353" t="s">
        <v>453</v>
      </c>
      <c r="C353" t="s">
        <v>454</v>
      </c>
      <c r="D353" t="s">
        <v>452</v>
      </c>
      <c r="E353">
        <v>17250</v>
      </c>
      <c r="G353">
        <v>19359.849999999999</v>
      </c>
      <c r="H353" t="s">
        <v>455</v>
      </c>
      <c r="I353" t="s">
        <v>11</v>
      </c>
      <c r="M353" s="22">
        <f t="shared" si="6"/>
        <v>45140</v>
      </c>
    </row>
    <row r="354" spans="1:13" x14ac:dyDescent="0.3">
      <c r="A354" t="s">
        <v>684</v>
      </c>
      <c r="B354" t="s">
        <v>847</v>
      </c>
      <c r="C354" t="s">
        <v>848</v>
      </c>
      <c r="D354" t="s">
        <v>849</v>
      </c>
      <c r="E354">
        <v>4800</v>
      </c>
      <c r="G354">
        <v>515.79</v>
      </c>
      <c r="H354" t="s">
        <v>850</v>
      </c>
      <c r="I354" t="s">
        <v>11</v>
      </c>
      <c r="M354" s="22">
        <f t="shared" si="6"/>
        <v>45157</v>
      </c>
    </row>
    <row r="355" spans="1:13" x14ac:dyDescent="0.3">
      <c r="A355" t="s">
        <v>885</v>
      </c>
      <c r="B355" t="s">
        <v>889</v>
      </c>
      <c r="C355" t="s">
        <v>890</v>
      </c>
      <c r="D355" t="s">
        <v>885</v>
      </c>
      <c r="E355">
        <v>18275</v>
      </c>
      <c r="G355">
        <v>-17744.830000000002</v>
      </c>
      <c r="H355" t="s">
        <v>891</v>
      </c>
      <c r="I355" t="s">
        <v>11</v>
      </c>
      <c r="M355" s="22">
        <f t="shared" si="6"/>
        <v>45160</v>
      </c>
    </row>
    <row r="356" spans="1:13" x14ac:dyDescent="0.3">
      <c r="A356" t="s">
        <v>1019</v>
      </c>
      <c r="B356" t="s">
        <v>1020</v>
      </c>
      <c r="C356" t="s">
        <v>1021</v>
      </c>
      <c r="D356" t="s">
        <v>1019</v>
      </c>
      <c r="E356">
        <v>500</v>
      </c>
      <c r="G356">
        <v>20201.169999999998</v>
      </c>
      <c r="H356" t="s">
        <v>1022</v>
      </c>
      <c r="I356" t="s">
        <v>11</v>
      </c>
      <c r="M356" s="22">
        <f t="shared" si="6"/>
        <v>45171</v>
      </c>
    </row>
    <row r="357" spans="1:13" x14ac:dyDescent="0.3">
      <c r="A357" t="s">
        <v>605</v>
      </c>
      <c r="B357" t="s">
        <v>617</v>
      </c>
      <c r="C357" t="s">
        <v>618</v>
      </c>
      <c r="D357" t="s">
        <v>605</v>
      </c>
      <c r="E357">
        <v>80</v>
      </c>
      <c r="G357">
        <v>6392.79</v>
      </c>
      <c r="H357" t="s">
        <v>619</v>
      </c>
      <c r="I357" t="s">
        <v>11</v>
      </c>
      <c r="M357" s="22">
        <f t="shared" si="6"/>
        <v>45152</v>
      </c>
    </row>
    <row r="358" spans="1:13" x14ac:dyDescent="0.3">
      <c r="A358" t="s">
        <v>654</v>
      </c>
      <c r="B358" t="s">
        <v>656</v>
      </c>
      <c r="C358" t="s">
        <v>657</v>
      </c>
      <c r="D358" t="s">
        <v>654</v>
      </c>
      <c r="E358">
        <v>2000</v>
      </c>
      <c r="G358">
        <v>4529.79</v>
      </c>
      <c r="H358" t="s">
        <v>658</v>
      </c>
      <c r="I358" t="s">
        <v>11</v>
      </c>
      <c r="M358" s="22">
        <f t="shared" si="6"/>
        <v>45155</v>
      </c>
    </row>
    <row r="359" spans="1:13" x14ac:dyDescent="0.3">
      <c r="A359" t="s">
        <v>654</v>
      </c>
      <c r="B359" t="s">
        <v>659</v>
      </c>
      <c r="C359" t="s">
        <v>660</v>
      </c>
      <c r="D359" t="s">
        <v>654</v>
      </c>
      <c r="E359">
        <v>1000</v>
      </c>
      <c r="G359">
        <v>3529.79</v>
      </c>
      <c r="H359" t="s">
        <v>661</v>
      </c>
      <c r="I359" t="s">
        <v>11</v>
      </c>
      <c r="M359" s="22">
        <f t="shared" si="6"/>
        <v>45155</v>
      </c>
    </row>
    <row r="360" spans="1:13" x14ac:dyDescent="0.3">
      <c r="A360" t="s">
        <v>504</v>
      </c>
      <c r="B360" t="s">
        <v>511</v>
      </c>
      <c r="C360" t="s">
        <v>512</v>
      </c>
      <c r="D360" t="s">
        <v>504</v>
      </c>
      <c r="E360">
        <v>4000</v>
      </c>
      <c r="G360">
        <v>21832.85</v>
      </c>
      <c r="H360" t="s">
        <v>513</v>
      </c>
      <c r="I360" t="s">
        <v>11</v>
      </c>
      <c r="M360" s="22">
        <f t="shared" si="6"/>
        <v>45147</v>
      </c>
    </row>
    <row r="361" spans="1:13" x14ac:dyDescent="0.3">
      <c r="A361" t="s">
        <v>580</v>
      </c>
      <c r="B361" t="s">
        <v>584</v>
      </c>
      <c r="C361" t="s">
        <v>585</v>
      </c>
      <c r="D361" t="s">
        <v>580</v>
      </c>
      <c r="E361">
        <v>1220</v>
      </c>
      <c r="G361">
        <v>16686.79</v>
      </c>
      <c r="H361" t="s">
        <v>586</v>
      </c>
      <c r="I361" t="s">
        <v>11</v>
      </c>
      <c r="M361" s="22">
        <f t="shared" si="6"/>
        <v>45151</v>
      </c>
    </row>
    <row r="362" spans="1:13" x14ac:dyDescent="0.3">
      <c r="B362"/>
      <c r="M362" s="22" t="str">
        <f t="shared" si="6"/>
        <v/>
      </c>
    </row>
    <row r="363" spans="1:13" x14ac:dyDescent="0.3">
      <c r="B363"/>
      <c r="M363" s="22" t="str">
        <f t="shared" si="6"/>
        <v/>
      </c>
    </row>
    <row r="364" spans="1:13" x14ac:dyDescent="0.3">
      <c r="B364"/>
      <c r="M364" s="22" t="str">
        <f t="shared" si="6"/>
        <v/>
      </c>
    </row>
    <row r="365" spans="1:13" x14ac:dyDescent="0.3">
      <c r="B365"/>
      <c r="M365" s="22" t="str">
        <f t="shared" si="6"/>
        <v/>
      </c>
    </row>
    <row r="366" spans="1:13" x14ac:dyDescent="0.3">
      <c r="B366"/>
      <c r="M366" s="22" t="str">
        <f t="shared" si="6"/>
        <v/>
      </c>
    </row>
    <row r="367" spans="1:13" x14ac:dyDescent="0.3">
      <c r="B367"/>
      <c r="M367" s="22" t="str">
        <f t="shared" si="6"/>
        <v/>
      </c>
    </row>
    <row r="368" spans="1:13" x14ac:dyDescent="0.3">
      <c r="B368"/>
      <c r="M368" s="22" t="str">
        <f t="shared" si="6"/>
        <v/>
      </c>
    </row>
    <row r="369" spans="2:13" x14ac:dyDescent="0.3">
      <c r="B369"/>
      <c r="M369" s="22" t="str">
        <f t="shared" si="6"/>
        <v/>
      </c>
    </row>
    <row r="370" spans="2:13" x14ac:dyDescent="0.3">
      <c r="B370"/>
      <c r="M370" s="22" t="str">
        <f t="shared" si="6"/>
        <v/>
      </c>
    </row>
    <row r="371" spans="2:13" x14ac:dyDescent="0.3">
      <c r="B371"/>
      <c r="M371" s="22" t="str">
        <f t="shared" si="6"/>
        <v/>
      </c>
    </row>
    <row r="372" spans="2:13" x14ac:dyDescent="0.3">
      <c r="B372"/>
      <c r="M372" s="22" t="str">
        <f t="shared" si="6"/>
        <v/>
      </c>
    </row>
    <row r="373" spans="2:13" x14ac:dyDescent="0.3">
      <c r="B373"/>
      <c r="M373" s="22" t="str">
        <f t="shared" si="6"/>
        <v/>
      </c>
    </row>
    <row r="374" spans="2:13" x14ac:dyDescent="0.3">
      <c r="B374"/>
      <c r="M374" s="22" t="str">
        <f t="shared" si="6"/>
        <v/>
      </c>
    </row>
    <row r="375" spans="2:13" x14ac:dyDescent="0.3">
      <c r="B375"/>
      <c r="M375" s="22" t="str">
        <f t="shared" si="6"/>
        <v/>
      </c>
    </row>
    <row r="376" spans="2:13" x14ac:dyDescent="0.3">
      <c r="B376"/>
      <c r="M376"/>
    </row>
    <row r="377" spans="2:13" x14ac:dyDescent="0.3">
      <c r="B377"/>
      <c r="M377"/>
    </row>
    <row r="378" spans="2:13" x14ac:dyDescent="0.3">
      <c r="B378"/>
      <c r="M378"/>
    </row>
    <row r="379" spans="2:13" x14ac:dyDescent="0.3">
      <c r="B379"/>
      <c r="M379"/>
    </row>
    <row r="380" spans="2:13" x14ac:dyDescent="0.3">
      <c r="B380"/>
      <c r="M380"/>
    </row>
    <row r="381" spans="2:13" x14ac:dyDescent="0.3">
      <c r="B381"/>
      <c r="M381"/>
    </row>
    <row r="382" spans="2:13" x14ac:dyDescent="0.3">
      <c r="B382"/>
      <c r="M382"/>
    </row>
    <row r="383" spans="2:13" x14ac:dyDescent="0.3">
      <c r="B383"/>
      <c r="M383"/>
    </row>
    <row r="384" spans="2:13" x14ac:dyDescent="0.3">
      <c r="B384"/>
      <c r="M384"/>
    </row>
    <row r="385" spans="2:13" x14ac:dyDescent="0.3">
      <c r="B385"/>
      <c r="M385"/>
    </row>
    <row r="386" spans="2:13" x14ac:dyDescent="0.3">
      <c r="B386"/>
      <c r="M386"/>
    </row>
    <row r="387" spans="2:13" x14ac:dyDescent="0.3">
      <c r="B387"/>
      <c r="M387"/>
    </row>
    <row r="388" spans="2:13" x14ac:dyDescent="0.3">
      <c r="B388"/>
      <c r="M388"/>
    </row>
    <row r="389" spans="2:13" x14ac:dyDescent="0.3">
      <c r="B389"/>
      <c r="M389"/>
    </row>
    <row r="390" spans="2:13" x14ac:dyDescent="0.3">
      <c r="B390"/>
      <c r="M390"/>
    </row>
    <row r="391" spans="2:13" x14ac:dyDescent="0.3">
      <c r="B391"/>
      <c r="M391"/>
    </row>
    <row r="392" spans="2:13" x14ac:dyDescent="0.3">
      <c r="B392"/>
      <c r="M392"/>
    </row>
    <row r="393" spans="2:13" x14ac:dyDescent="0.3">
      <c r="B393"/>
      <c r="M393"/>
    </row>
    <row r="394" spans="2:13" x14ac:dyDescent="0.3">
      <c r="B394"/>
      <c r="M394"/>
    </row>
    <row r="395" spans="2:13" x14ac:dyDescent="0.3">
      <c r="B395"/>
      <c r="M395"/>
    </row>
    <row r="396" spans="2:13" x14ac:dyDescent="0.3">
      <c r="B396"/>
      <c r="M396"/>
    </row>
    <row r="397" spans="2:13" x14ac:dyDescent="0.3">
      <c r="B397"/>
      <c r="M397"/>
    </row>
    <row r="398" spans="2:13" x14ac:dyDescent="0.3">
      <c r="B398"/>
      <c r="M398"/>
    </row>
    <row r="399" spans="2:13" x14ac:dyDescent="0.3">
      <c r="B399"/>
      <c r="M399"/>
    </row>
    <row r="400" spans="2:13" x14ac:dyDescent="0.3">
      <c r="B400"/>
      <c r="M400"/>
    </row>
    <row r="401" spans="2:13" x14ac:dyDescent="0.3">
      <c r="B401"/>
      <c r="M401"/>
    </row>
    <row r="402" spans="2:13" x14ac:dyDescent="0.3">
      <c r="B402"/>
      <c r="M402"/>
    </row>
    <row r="403" spans="2:13" x14ac:dyDescent="0.3">
      <c r="B403"/>
      <c r="M403"/>
    </row>
    <row r="404" spans="2:13" x14ac:dyDescent="0.3">
      <c r="B404"/>
      <c r="M404"/>
    </row>
    <row r="405" spans="2:13" x14ac:dyDescent="0.3">
      <c r="B405"/>
      <c r="M405"/>
    </row>
    <row r="406" spans="2:13" x14ac:dyDescent="0.3">
      <c r="B406"/>
      <c r="M406"/>
    </row>
    <row r="407" spans="2:13" x14ac:dyDescent="0.3">
      <c r="B407"/>
      <c r="M407"/>
    </row>
    <row r="408" spans="2:13" x14ac:dyDescent="0.3">
      <c r="B408"/>
      <c r="M408"/>
    </row>
    <row r="409" spans="2:13" x14ac:dyDescent="0.3">
      <c r="B409"/>
      <c r="M409"/>
    </row>
    <row r="410" spans="2:13" x14ac:dyDescent="0.3">
      <c r="B410"/>
      <c r="M410"/>
    </row>
    <row r="411" spans="2:13" x14ac:dyDescent="0.3">
      <c r="B411"/>
      <c r="M411"/>
    </row>
    <row r="412" spans="2:13" x14ac:dyDescent="0.3">
      <c r="B412"/>
      <c r="M412"/>
    </row>
    <row r="413" spans="2:13" x14ac:dyDescent="0.3">
      <c r="B413"/>
      <c r="M413"/>
    </row>
    <row r="414" spans="2:13" x14ac:dyDescent="0.3">
      <c r="B414"/>
      <c r="M414"/>
    </row>
    <row r="415" spans="2:13" x14ac:dyDescent="0.3">
      <c r="B415"/>
      <c r="M415"/>
    </row>
    <row r="416" spans="2:13" x14ac:dyDescent="0.3">
      <c r="B416"/>
      <c r="M416"/>
    </row>
    <row r="417" spans="2:13" x14ac:dyDescent="0.3">
      <c r="B417"/>
      <c r="M417"/>
    </row>
    <row r="418" spans="2:13" x14ac:dyDescent="0.3">
      <c r="B418"/>
      <c r="M418"/>
    </row>
    <row r="419" spans="2:13" x14ac:dyDescent="0.3">
      <c r="B419"/>
      <c r="M419"/>
    </row>
    <row r="420" spans="2:13" x14ac:dyDescent="0.3">
      <c r="B420"/>
      <c r="M420"/>
    </row>
    <row r="421" spans="2:13" x14ac:dyDescent="0.3">
      <c r="B421"/>
      <c r="M421"/>
    </row>
    <row r="422" spans="2:13" x14ac:dyDescent="0.3">
      <c r="B422"/>
      <c r="M422"/>
    </row>
    <row r="423" spans="2:13" x14ac:dyDescent="0.3">
      <c r="B423"/>
      <c r="M423"/>
    </row>
    <row r="424" spans="2:13" x14ac:dyDescent="0.3">
      <c r="B424"/>
      <c r="M424"/>
    </row>
    <row r="425" spans="2:13" x14ac:dyDescent="0.3">
      <c r="B425"/>
      <c r="M425"/>
    </row>
    <row r="426" spans="2:13" x14ac:dyDescent="0.3">
      <c r="B426"/>
      <c r="M426"/>
    </row>
    <row r="427" spans="2:13" x14ac:dyDescent="0.3">
      <c r="B427"/>
      <c r="M427"/>
    </row>
    <row r="428" spans="2:13" x14ac:dyDescent="0.3">
      <c r="B428"/>
      <c r="M428"/>
    </row>
    <row r="429" spans="2:13" x14ac:dyDescent="0.3">
      <c r="B429"/>
      <c r="M429"/>
    </row>
    <row r="430" spans="2:13" x14ac:dyDescent="0.3">
      <c r="B430"/>
      <c r="M430"/>
    </row>
    <row r="431" spans="2:13" x14ac:dyDescent="0.3">
      <c r="B431"/>
      <c r="M431"/>
    </row>
    <row r="432" spans="2:13" x14ac:dyDescent="0.3">
      <c r="B432"/>
      <c r="M432"/>
    </row>
    <row r="433" spans="2:13" x14ac:dyDescent="0.3">
      <c r="B433"/>
      <c r="M433"/>
    </row>
    <row r="434" spans="2:13" x14ac:dyDescent="0.3">
      <c r="B434"/>
      <c r="M434"/>
    </row>
    <row r="435" spans="2:13" x14ac:dyDescent="0.3">
      <c r="B435"/>
      <c r="M435"/>
    </row>
    <row r="436" spans="2:13" x14ac:dyDescent="0.3">
      <c r="B436"/>
      <c r="M436"/>
    </row>
    <row r="437" spans="2:13" x14ac:dyDescent="0.3">
      <c r="B437"/>
      <c r="M437"/>
    </row>
    <row r="438" spans="2:13" x14ac:dyDescent="0.3">
      <c r="B438"/>
      <c r="M438"/>
    </row>
    <row r="439" spans="2:13" x14ac:dyDescent="0.3">
      <c r="B439"/>
      <c r="M439"/>
    </row>
    <row r="440" spans="2:13" x14ac:dyDescent="0.3">
      <c r="B440"/>
      <c r="M440"/>
    </row>
    <row r="441" spans="2:13" x14ac:dyDescent="0.3">
      <c r="B441"/>
      <c r="M441"/>
    </row>
    <row r="442" spans="2:13" x14ac:dyDescent="0.3">
      <c r="B442"/>
      <c r="M442"/>
    </row>
    <row r="443" spans="2:13" x14ac:dyDescent="0.3">
      <c r="B443"/>
      <c r="M443"/>
    </row>
    <row r="444" spans="2:13" x14ac:dyDescent="0.3">
      <c r="B444"/>
      <c r="M444"/>
    </row>
    <row r="445" spans="2:13" x14ac:dyDescent="0.3">
      <c r="B445"/>
      <c r="M445"/>
    </row>
    <row r="446" spans="2:13" x14ac:dyDescent="0.3">
      <c r="B446"/>
      <c r="M446"/>
    </row>
    <row r="447" spans="2:13" x14ac:dyDescent="0.3">
      <c r="B447"/>
      <c r="M447"/>
    </row>
    <row r="448" spans="2:13" x14ac:dyDescent="0.3">
      <c r="B448"/>
      <c r="M448"/>
    </row>
    <row r="449" spans="2:13" x14ac:dyDescent="0.3">
      <c r="B449"/>
      <c r="M449"/>
    </row>
    <row r="450" spans="2:13" x14ac:dyDescent="0.3">
      <c r="B450"/>
      <c r="M450"/>
    </row>
    <row r="451" spans="2:13" x14ac:dyDescent="0.3">
      <c r="B451"/>
      <c r="M451"/>
    </row>
    <row r="452" spans="2:13" x14ac:dyDescent="0.3">
      <c r="B452"/>
      <c r="M452"/>
    </row>
    <row r="453" spans="2:13" x14ac:dyDescent="0.3">
      <c r="B453"/>
      <c r="M453"/>
    </row>
    <row r="454" spans="2:13" x14ac:dyDescent="0.3">
      <c r="B454"/>
      <c r="M454"/>
    </row>
    <row r="455" spans="2:13" x14ac:dyDescent="0.3">
      <c r="B455"/>
      <c r="M455"/>
    </row>
    <row r="456" spans="2:13" x14ac:dyDescent="0.3">
      <c r="B456"/>
      <c r="M456"/>
    </row>
    <row r="457" spans="2:13" x14ac:dyDescent="0.3">
      <c r="B457"/>
      <c r="M457"/>
    </row>
    <row r="458" spans="2:13" x14ac:dyDescent="0.3">
      <c r="B458"/>
      <c r="M458"/>
    </row>
    <row r="459" spans="2:13" x14ac:dyDescent="0.3">
      <c r="B459"/>
      <c r="M459"/>
    </row>
    <row r="460" spans="2:13" x14ac:dyDescent="0.3">
      <c r="B460"/>
      <c r="M460"/>
    </row>
    <row r="461" spans="2:13" x14ac:dyDescent="0.3">
      <c r="B461"/>
      <c r="M461"/>
    </row>
    <row r="462" spans="2:13" x14ac:dyDescent="0.3">
      <c r="B462"/>
      <c r="M462"/>
    </row>
    <row r="463" spans="2:13" x14ac:dyDescent="0.3">
      <c r="B463"/>
      <c r="M463"/>
    </row>
    <row r="464" spans="2:13" x14ac:dyDescent="0.3">
      <c r="B464"/>
      <c r="M464"/>
    </row>
    <row r="465" spans="2:13" x14ac:dyDescent="0.3">
      <c r="B465"/>
      <c r="M465"/>
    </row>
    <row r="466" spans="2:13" x14ac:dyDescent="0.3">
      <c r="B466"/>
      <c r="M466"/>
    </row>
    <row r="467" spans="2:13" x14ac:dyDescent="0.3">
      <c r="B467"/>
      <c r="M467"/>
    </row>
    <row r="468" spans="2:13" x14ac:dyDescent="0.3">
      <c r="B468"/>
      <c r="M468"/>
    </row>
    <row r="469" spans="2:13" x14ac:dyDescent="0.3">
      <c r="B469"/>
      <c r="M469"/>
    </row>
    <row r="470" spans="2:13" x14ac:dyDescent="0.3">
      <c r="B470"/>
      <c r="M470"/>
    </row>
    <row r="471" spans="2:13" x14ac:dyDescent="0.3">
      <c r="B471"/>
      <c r="M471"/>
    </row>
    <row r="472" spans="2:13" x14ac:dyDescent="0.3">
      <c r="B472"/>
      <c r="M472"/>
    </row>
    <row r="473" spans="2:13" x14ac:dyDescent="0.3">
      <c r="B473"/>
      <c r="M473"/>
    </row>
    <row r="474" spans="2:13" x14ac:dyDescent="0.3">
      <c r="B474"/>
      <c r="M474"/>
    </row>
    <row r="475" spans="2:13" x14ac:dyDescent="0.3">
      <c r="B475"/>
      <c r="M475"/>
    </row>
    <row r="476" spans="2:13" x14ac:dyDescent="0.3">
      <c r="B476"/>
      <c r="M476"/>
    </row>
    <row r="477" spans="2:13" x14ac:dyDescent="0.3">
      <c r="B477"/>
      <c r="M477"/>
    </row>
    <row r="478" spans="2:13" x14ac:dyDescent="0.3">
      <c r="B478"/>
      <c r="M478"/>
    </row>
    <row r="479" spans="2:13" x14ac:dyDescent="0.3">
      <c r="B479"/>
      <c r="M479"/>
    </row>
    <row r="480" spans="2:13" x14ac:dyDescent="0.3">
      <c r="B480"/>
      <c r="M480"/>
    </row>
    <row r="481" spans="2:13" x14ac:dyDescent="0.3">
      <c r="B481"/>
      <c r="M481"/>
    </row>
    <row r="482" spans="2:13" x14ac:dyDescent="0.3">
      <c r="B482"/>
      <c r="M482"/>
    </row>
    <row r="483" spans="2:13" x14ac:dyDescent="0.3">
      <c r="B483"/>
      <c r="M483"/>
    </row>
    <row r="484" spans="2:13" x14ac:dyDescent="0.3">
      <c r="B484"/>
      <c r="M484"/>
    </row>
    <row r="485" spans="2:13" x14ac:dyDescent="0.3">
      <c r="B485"/>
      <c r="M485"/>
    </row>
    <row r="486" spans="2:13" x14ac:dyDescent="0.3">
      <c r="B486"/>
      <c r="M486"/>
    </row>
    <row r="487" spans="2:13" x14ac:dyDescent="0.3">
      <c r="B487"/>
      <c r="M487"/>
    </row>
    <row r="488" spans="2:13" x14ac:dyDescent="0.3">
      <c r="B488"/>
      <c r="M488"/>
    </row>
    <row r="489" spans="2:13" x14ac:dyDescent="0.3">
      <c r="B489"/>
      <c r="M489"/>
    </row>
    <row r="490" spans="2:13" x14ac:dyDescent="0.3">
      <c r="B490"/>
      <c r="M490"/>
    </row>
    <row r="491" spans="2:13" x14ac:dyDescent="0.3">
      <c r="B491"/>
      <c r="M491"/>
    </row>
    <row r="492" spans="2:13" x14ac:dyDescent="0.3">
      <c r="B492"/>
      <c r="M492"/>
    </row>
    <row r="493" spans="2:13" x14ac:dyDescent="0.3">
      <c r="B493"/>
      <c r="M493"/>
    </row>
    <row r="494" spans="2:13" x14ac:dyDescent="0.3">
      <c r="B494"/>
      <c r="M494"/>
    </row>
    <row r="495" spans="2:13" x14ac:dyDescent="0.3">
      <c r="B495"/>
      <c r="M495"/>
    </row>
    <row r="496" spans="2:13" x14ac:dyDescent="0.3">
      <c r="B496"/>
      <c r="M496"/>
    </row>
    <row r="497" spans="2:13" x14ac:dyDescent="0.3">
      <c r="B497"/>
      <c r="M497"/>
    </row>
    <row r="498" spans="2:13" x14ac:dyDescent="0.3">
      <c r="B498"/>
      <c r="M498"/>
    </row>
    <row r="499" spans="2:13" x14ac:dyDescent="0.3">
      <c r="B499"/>
      <c r="M499"/>
    </row>
    <row r="500" spans="2:13" x14ac:dyDescent="0.3">
      <c r="B500"/>
      <c r="M500"/>
    </row>
    <row r="501" spans="2:13" x14ac:dyDescent="0.3">
      <c r="B501"/>
      <c r="M501"/>
    </row>
    <row r="502" spans="2:13" x14ac:dyDescent="0.3">
      <c r="B502"/>
      <c r="M502"/>
    </row>
    <row r="503" spans="2:13" x14ac:dyDescent="0.3">
      <c r="B503"/>
      <c r="M503"/>
    </row>
    <row r="504" spans="2:13" x14ac:dyDescent="0.3">
      <c r="B504"/>
      <c r="M504"/>
    </row>
    <row r="505" spans="2:13" x14ac:dyDescent="0.3">
      <c r="B505"/>
      <c r="M505"/>
    </row>
    <row r="506" spans="2:13" x14ac:dyDescent="0.3">
      <c r="B506"/>
      <c r="M506"/>
    </row>
    <row r="507" spans="2:13" x14ac:dyDescent="0.3">
      <c r="B507"/>
      <c r="M507"/>
    </row>
    <row r="508" spans="2:13" x14ac:dyDescent="0.3">
      <c r="B508"/>
      <c r="M508"/>
    </row>
    <row r="509" spans="2:13" x14ac:dyDescent="0.3">
      <c r="B509"/>
      <c r="M509"/>
    </row>
    <row r="510" spans="2:13" x14ac:dyDescent="0.3">
      <c r="B510"/>
      <c r="M510"/>
    </row>
    <row r="511" spans="2:13" x14ac:dyDescent="0.3">
      <c r="B511"/>
      <c r="M511"/>
    </row>
    <row r="512" spans="2:13" x14ac:dyDescent="0.3">
      <c r="B512"/>
      <c r="M512"/>
    </row>
    <row r="513" spans="2:13" x14ac:dyDescent="0.3">
      <c r="B513"/>
      <c r="M513"/>
    </row>
    <row r="514" spans="2:13" x14ac:dyDescent="0.3">
      <c r="B514"/>
      <c r="M514"/>
    </row>
    <row r="515" spans="2:13" x14ac:dyDescent="0.3">
      <c r="B515"/>
      <c r="M515"/>
    </row>
    <row r="516" spans="2:13" x14ac:dyDescent="0.3">
      <c r="B516"/>
      <c r="M516"/>
    </row>
    <row r="517" spans="2:13" x14ac:dyDescent="0.3">
      <c r="B517"/>
      <c r="M517"/>
    </row>
    <row r="518" spans="2:13" x14ac:dyDescent="0.3">
      <c r="B518"/>
      <c r="M518"/>
    </row>
    <row r="519" spans="2:13" x14ac:dyDescent="0.3">
      <c r="B519"/>
      <c r="M519"/>
    </row>
    <row r="520" spans="2:13" x14ac:dyDescent="0.3">
      <c r="B520"/>
      <c r="M520"/>
    </row>
    <row r="521" spans="2:13" x14ac:dyDescent="0.3">
      <c r="B521"/>
      <c r="M521"/>
    </row>
    <row r="522" spans="2:13" x14ac:dyDescent="0.3">
      <c r="B522"/>
      <c r="M522"/>
    </row>
    <row r="523" spans="2:13" x14ac:dyDescent="0.3">
      <c r="B523"/>
      <c r="M523"/>
    </row>
    <row r="524" spans="2:13" x14ac:dyDescent="0.3">
      <c r="B524"/>
      <c r="M524"/>
    </row>
    <row r="525" spans="2:13" x14ac:dyDescent="0.3">
      <c r="B525"/>
      <c r="M525"/>
    </row>
    <row r="526" spans="2:13" x14ac:dyDescent="0.3">
      <c r="B526"/>
      <c r="M526"/>
    </row>
    <row r="527" spans="2:13" x14ac:dyDescent="0.3">
      <c r="B527"/>
      <c r="M527"/>
    </row>
    <row r="528" spans="2:13" x14ac:dyDescent="0.3">
      <c r="B528"/>
      <c r="M528"/>
    </row>
    <row r="529" spans="2:13" x14ac:dyDescent="0.3">
      <c r="B529"/>
      <c r="M529"/>
    </row>
    <row r="530" spans="2:13" x14ac:dyDescent="0.3">
      <c r="B530"/>
      <c r="M530"/>
    </row>
    <row r="531" spans="2:13" x14ac:dyDescent="0.3">
      <c r="B531"/>
      <c r="M531"/>
    </row>
    <row r="532" spans="2:13" x14ac:dyDescent="0.3">
      <c r="B532"/>
      <c r="M532"/>
    </row>
    <row r="533" spans="2:13" x14ac:dyDescent="0.3">
      <c r="B533"/>
      <c r="M533"/>
    </row>
    <row r="534" spans="2:13" x14ac:dyDescent="0.3">
      <c r="B534"/>
      <c r="M534"/>
    </row>
    <row r="535" spans="2:13" x14ac:dyDescent="0.3">
      <c r="B535"/>
      <c r="M535"/>
    </row>
    <row r="536" spans="2:13" x14ac:dyDescent="0.3">
      <c r="B536"/>
      <c r="M536"/>
    </row>
    <row r="537" spans="2:13" x14ac:dyDescent="0.3">
      <c r="B537"/>
      <c r="M537"/>
    </row>
    <row r="538" spans="2:13" x14ac:dyDescent="0.3">
      <c r="B538"/>
      <c r="M538"/>
    </row>
    <row r="539" spans="2:13" x14ac:dyDescent="0.3">
      <c r="B539"/>
      <c r="M539"/>
    </row>
    <row r="540" spans="2:13" x14ac:dyDescent="0.3">
      <c r="B540"/>
      <c r="M540"/>
    </row>
    <row r="541" spans="2:13" x14ac:dyDescent="0.3">
      <c r="B541"/>
      <c r="M541"/>
    </row>
    <row r="542" spans="2:13" x14ac:dyDescent="0.3">
      <c r="B542"/>
      <c r="M542"/>
    </row>
    <row r="543" spans="2:13" x14ac:dyDescent="0.3">
      <c r="B543"/>
      <c r="M543"/>
    </row>
    <row r="544" spans="2:13" x14ac:dyDescent="0.3">
      <c r="B544"/>
      <c r="M544"/>
    </row>
    <row r="545" spans="2:13" x14ac:dyDescent="0.3">
      <c r="B545"/>
      <c r="M545"/>
    </row>
    <row r="546" spans="2:13" x14ac:dyDescent="0.3">
      <c r="B546"/>
      <c r="M546"/>
    </row>
    <row r="547" spans="2:13" x14ac:dyDescent="0.3">
      <c r="B547"/>
      <c r="M547"/>
    </row>
    <row r="548" spans="2:13" x14ac:dyDescent="0.3">
      <c r="B548"/>
      <c r="M548"/>
    </row>
    <row r="549" spans="2:13" x14ac:dyDescent="0.3">
      <c r="B549"/>
      <c r="M549"/>
    </row>
    <row r="550" spans="2:13" x14ac:dyDescent="0.3">
      <c r="B550"/>
      <c r="M550"/>
    </row>
    <row r="551" spans="2:13" x14ac:dyDescent="0.3">
      <c r="B551"/>
      <c r="M551"/>
    </row>
    <row r="552" spans="2:13" x14ac:dyDescent="0.3">
      <c r="B552"/>
      <c r="M552"/>
    </row>
    <row r="553" spans="2:13" x14ac:dyDescent="0.3">
      <c r="B553"/>
      <c r="M553"/>
    </row>
    <row r="554" spans="2:13" x14ac:dyDescent="0.3">
      <c r="B554"/>
      <c r="M554"/>
    </row>
    <row r="555" spans="2:13" x14ac:dyDescent="0.3">
      <c r="B555"/>
      <c r="M555"/>
    </row>
    <row r="556" spans="2:13" x14ac:dyDescent="0.3">
      <c r="B556"/>
      <c r="M556"/>
    </row>
    <row r="557" spans="2:13" x14ac:dyDescent="0.3">
      <c r="B557"/>
      <c r="M557"/>
    </row>
    <row r="558" spans="2:13" x14ac:dyDescent="0.3">
      <c r="B558"/>
      <c r="M558"/>
    </row>
    <row r="559" spans="2:13" x14ac:dyDescent="0.3">
      <c r="B559"/>
      <c r="M559"/>
    </row>
    <row r="560" spans="2:13" x14ac:dyDescent="0.3">
      <c r="B560"/>
      <c r="M560"/>
    </row>
    <row r="561" spans="2:13" x14ac:dyDescent="0.3">
      <c r="B561"/>
      <c r="M561"/>
    </row>
    <row r="562" spans="2:13" x14ac:dyDescent="0.3">
      <c r="B562"/>
      <c r="M562"/>
    </row>
    <row r="563" spans="2:13" x14ac:dyDescent="0.3">
      <c r="B563"/>
      <c r="M563"/>
    </row>
    <row r="564" spans="2:13" x14ac:dyDescent="0.3">
      <c r="B564"/>
      <c r="M564"/>
    </row>
    <row r="565" spans="2:13" x14ac:dyDescent="0.3">
      <c r="B565"/>
      <c r="M565"/>
    </row>
    <row r="566" spans="2:13" x14ac:dyDescent="0.3">
      <c r="B566"/>
      <c r="M566"/>
    </row>
    <row r="567" spans="2:13" x14ac:dyDescent="0.3">
      <c r="B567"/>
      <c r="M567"/>
    </row>
    <row r="568" spans="2:13" x14ac:dyDescent="0.3">
      <c r="B568"/>
      <c r="M568"/>
    </row>
    <row r="569" spans="2:13" x14ac:dyDescent="0.3">
      <c r="B569"/>
      <c r="M569"/>
    </row>
    <row r="570" spans="2:13" x14ac:dyDescent="0.3">
      <c r="B570"/>
      <c r="M570"/>
    </row>
    <row r="571" spans="2:13" x14ac:dyDescent="0.3">
      <c r="B571"/>
      <c r="M571"/>
    </row>
    <row r="572" spans="2:13" x14ac:dyDescent="0.3">
      <c r="B572"/>
      <c r="M572"/>
    </row>
    <row r="573" spans="2:13" x14ac:dyDescent="0.3">
      <c r="B573"/>
      <c r="M573"/>
    </row>
    <row r="574" spans="2:13" x14ac:dyDescent="0.3">
      <c r="B574"/>
      <c r="M574"/>
    </row>
    <row r="575" spans="2:13" x14ac:dyDescent="0.3">
      <c r="B575"/>
      <c r="M575"/>
    </row>
    <row r="576" spans="2:13" x14ac:dyDescent="0.3">
      <c r="B576"/>
      <c r="M576"/>
    </row>
    <row r="577" spans="2:13" x14ac:dyDescent="0.3">
      <c r="B577"/>
      <c r="M577"/>
    </row>
    <row r="578" spans="2:13" x14ac:dyDescent="0.3">
      <c r="B578"/>
      <c r="M578"/>
    </row>
    <row r="579" spans="2:13" x14ac:dyDescent="0.3">
      <c r="B579"/>
      <c r="M579"/>
    </row>
    <row r="580" spans="2:13" x14ac:dyDescent="0.3">
      <c r="B580"/>
      <c r="M580"/>
    </row>
    <row r="581" spans="2:13" x14ac:dyDescent="0.3">
      <c r="B581"/>
      <c r="M581"/>
    </row>
    <row r="582" spans="2:13" x14ac:dyDescent="0.3">
      <c r="B582"/>
      <c r="M582"/>
    </row>
    <row r="583" spans="2:13" x14ac:dyDescent="0.3">
      <c r="B583"/>
      <c r="M583"/>
    </row>
    <row r="584" spans="2:13" x14ac:dyDescent="0.3">
      <c r="B584"/>
      <c r="M584"/>
    </row>
    <row r="585" spans="2:13" x14ac:dyDescent="0.3">
      <c r="B585"/>
      <c r="M585"/>
    </row>
    <row r="586" spans="2:13" x14ac:dyDescent="0.3">
      <c r="B586"/>
      <c r="M586"/>
    </row>
    <row r="587" spans="2:13" x14ac:dyDescent="0.3">
      <c r="B587"/>
      <c r="M587"/>
    </row>
    <row r="588" spans="2:13" x14ac:dyDescent="0.3">
      <c r="B588"/>
      <c r="M588"/>
    </row>
    <row r="589" spans="2:13" x14ac:dyDescent="0.3">
      <c r="B589"/>
      <c r="M589"/>
    </row>
    <row r="590" spans="2:13" x14ac:dyDescent="0.3">
      <c r="B590"/>
      <c r="M590"/>
    </row>
    <row r="591" spans="2:13" x14ac:dyDescent="0.3">
      <c r="B591"/>
      <c r="M591"/>
    </row>
    <row r="592" spans="2:13" x14ac:dyDescent="0.3">
      <c r="B592"/>
      <c r="M592"/>
    </row>
    <row r="593" spans="2:13" x14ac:dyDescent="0.3">
      <c r="B593"/>
      <c r="M593"/>
    </row>
    <row r="594" spans="2:13" x14ac:dyDescent="0.3">
      <c r="B594"/>
      <c r="M594"/>
    </row>
    <row r="595" spans="2:13" x14ac:dyDescent="0.3">
      <c r="B595"/>
      <c r="M595"/>
    </row>
    <row r="596" spans="2:13" x14ac:dyDescent="0.3">
      <c r="B596"/>
      <c r="M596"/>
    </row>
    <row r="597" spans="2:13" x14ac:dyDescent="0.3">
      <c r="B597"/>
      <c r="M597"/>
    </row>
    <row r="598" spans="2:13" x14ac:dyDescent="0.3">
      <c r="B598"/>
      <c r="M598"/>
    </row>
    <row r="599" spans="2:13" x14ac:dyDescent="0.3">
      <c r="B599"/>
      <c r="M599"/>
    </row>
    <row r="600" spans="2:13" x14ac:dyDescent="0.3">
      <c r="B600"/>
      <c r="M600"/>
    </row>
    <row r="601" spans="2:13" x14ac:dyDescent="0.3">
      <c r="B601"/>
      <c r="M601"/>
    </row>
    <row r="602" spans="2:13" x14ac:dyDescent="0.3">
      <c r="B602"/>
      <c r="M602"/>
    </row>
    <row r="603" spans="2:13" x14ac:dyDescent="0.3">
      <c r="B603"/>
      <c r="M603"/>
    </row>
    <row r="604" spans="2:13" x14ac:dyDescent="0.3">
      <c r="B604"/>
      <c r="M604"/>
    </row>
    <row r="605" spans="2:13" x14ac:dyDescent="0.3">
      <c r="B605"/>
      <c r="M605"/>
    </row>
    <row r="606" spans="2:13" x14ac:dyDescent="0.3">
      <c r="B606"/>
      <c r="M606"/>
    </row>
    <row r="607" spans="2:13" x14ac:dyDescent="0.3">
      <c r="B607"/>
      <c r="M607"/>
    </row>
    <row r="608" spans="2:13" x14ac:dyDescent="0.3">
      <c r="B608"/>
      <c r="M608"/>
    </row>
    <row r="609" spans="2:13" x14ac:dyDescent="0.3">
      <c r="B609"/>
      <c r="M609"/>
    </row>
    <row r="610" spans="2:13" x14ac:dyDescent="0.3">
      <c r="B610"/>
      <c r="M610"/>
    </row>
    <row r="611" spans="2:13" x14ac:dyDescent="0.3">
      <c r="B611"/>
      <c r="M611"/>
    </row>
    <row r="612" spans="2:13" x14ac:dyDescent="0.3">
      <c r="B612"/>
      <c r="M612"/>
    </row>
    <row r="613" spans="2:13" x14ac:dyDescent="0.3">
      <c r="B613"/>
      <c r="M613"/>
    </row>
    <row r="614" spans="2:13" x14ac:dyDescent="0.3">
      <c r="B614"/>
      <c r="M614"/>
    </row>
    <row r="615" spans="2:13" x14ac:dyDescent="0.3">
      <c r="B615"/>
      <c r="M615"/>
    </row>
    <row r="616" spans="2:13" x14ac:dyDescent="0.3">
      <c r="B616"/>
      <c r="M616"/>
    </row>
    <row r="617" spans="2:13" x14ac:dyDescent="0.3">
      <c r="B617"/>
      <c r="M617"/>
    </row>
    <row r="618" spans="2:13" x14ac:dyDescent="0.3">
      <c r="B618"/>
      <c r="M618"/>
    </row>
    <row r="619" spans="2:13" x14ac:dyDescent="0.3">
      <c r="B619"/>
      <c r="M619"/>
    </row>
    <row r="620" spans="2:13" x14ac:dyDescent="0.3">
      <c r="B620"/>
      <c r="M620"/>
    </row>
    <row r="621" spans="2:13" x14ac:dyDescent="0.3">
      <c r="B621"/>
      <c r="M621"/>
    </row>
    <row r="622" spans="2:13" x14ac:dyDescent="0.3">
      <c r="B622"/>
      <c r="M622"/>
    </row>
    <row r="623" spans="2:13" x14ac:dyDescent="0.3">
      <c r="B623"/>
      <c r="M623"/>
    </row>
    <row r="624" spans="2:13" x14ac:dyDescent="0.3">
      <c r="B624"/>
      <c r="M624"/>
    </row>
    <row r="625" spans="2:13" x14ac:dyDescent="0.3">
      <c r="B625"/>
      <c r="M625"/>
    </row>
    <row r="626" spans="2:13" x14ac:dyDescent="0.3">
      <c r="B626"/>
      <c r="M626"/>
    </row>
    <row r="627" spans="2:13" x14ac:dyDescent="0.3">
      <c r="B627"/>
      <c r="M627"/>
    </row>
    <row r="628" spans="2:13" x14ac:dyDescent="0.3">
      <c r="B628"/>
      <c r="M628"/>
    </row>
    <row r="629" spans="2:13" x14ac:dyDescent="0.3">
      <c r="B629"/>
      <c r="M629"/>
    </row>
    <row r="630" spans="2:13" x14ac:dyDescent="0.3">
      <c r="B630"/>
      <c r="M630"/>
    </row>
    <row r="631" spans="2:13" x14ac:dyDescent="0.3">
      <c r="B631"/>
      <c r="M631"/>
    </row>
    <row r="632" spans="2:13" x14ac:dyDescent="0.3">
      <c r="B632"/>
      <c r="M632"/>
    </row>
    <row r="633" spans="2:13" x14ac:dyDescent="0.3">
      <c r="B633"/>
      <c r="M633"/>
    </row>
    <row r="634" spans="2:13" x14ac:dyDescent="0.3">
      <c r="B634"/>
      <c r="M634"/>
    </row>
    <row r="635" spans="2:13" x14ac:dyDescent="0.3">
      <c r="B635"/>
      <c r="M635"/>
    </row>
    <row r="636" spans="2:13" x14ac:dyDescent="0.3">
      <c r="B636"/>
      <c r="M636"/>
    </row>
    <row r="637" spans="2:13" x14ac:dyDescent="0.3">
      <c r="B637"/>
      <c r="M637"/>
    </row>
    <row r="638" spans="2:13" x14ac:dyDescent="0.3">
      <c r="B638"/>
      <c r="M638"/>
    </row>
    <row r="639" spans="2:13" x14ac:dyDescent="0.3">
      <c r="B639"/>
      <c r="M639"/>
    </row>
    <row r="640" spans="2:13" x14ac:dyDescent="0.3">
      <c r="B640"/>
      <c r="M640"/>
    </row>
    <row r="641" spans="2:13" x14ac:dyDescent="0.3">
      <c r="B641"/>
      <c r="M641"/>
    </row>
    <row r="642" spans="2:13" x14ac:dyDescent="0.3">
      <c r="B642"/>
      <c r="M642"/>
    </row>
    <row r="643" spans="2:13" x14ac:dyDescent="0.3">
      <c r="B643"/>
      <c r="M643"/>
    </row>
    <row r="644" spans="2:13" x14ac:dyDescent="0.3">
      <c r="B644"/>
      <c r="M644"/>
    </row>
    <row r="645" spans="2:13" x14ac:dyDescent="0.3">
      <c r="B645"/>
      <c r="M645"/>
    </row>
    <row r="646" spans="2:13" x14ac:dyDescent="0.3">
      <c r="B646"/>
      <c r="M646"/>
    </row>
    <row r="647" spans="2:13" x14ac:dyDescent="0.3">
      <c r="B647"/>
      <c r="M647"/>
    </row>
    <row r="648" spans="2:13" x14ac:dyDescent="0.3">
      <c r="B648"/>
      <c r="M648"/>
    </row>
    <row r="649" spans="2:13" x14ac:dyDescent="0.3">
      <c r="B649"/>
      <c r="M649"/>
    </row>
    <row r="650" spans="2:13" x14ac:dyDescent="0.3">
      <c r="B650"/>
      <c r="M650"/>
    </row>
    <row r="651" spans="2:13" x14ac:dyDescent="0.3">
      <c r="B651"/>
      <c r="M651"/>
    </row>
    <row r="652" spans="2:13" x14ac:dyDescent="0.3">
      <c r="B652"/>
      <c r="M652"/>
    </row>
    <row r="653" spans="2:13" x14ac:dyDescent="0.3">
      <c r="B653"/>
      <c r="M653"/>
    </row>
    <row r="654" spans="2:13" x14ac:dyDescent="0.3">
      <c r="B654"/>
      <c r="M654"/>
    </row>
    <row r="655" spans="2:13" x14ac:dyDescent="0.3">
      <c r="B655"/>
      <c r="M655"/>
    </row>
    <row r="656" spans="2:13" x14ac:dyDescent="0.3">
      <c r="B656"/>
      <c r="M656"/>
    </row>
    <row r="657" spans="2:13" x14ac:dyDescent="0.3">
      <c r="B657"/>
      <c r="M657"/>
    </row>
    <row r="658" spans="2:13" x14ac:dyDescent="0.3">
      <c r="B658"/>
      <c r="M658"/>
    </row>
    <row r="659" spans="2:13" x14ac:dyDescent="0.3">
      <c r="B659"/>
      <c r="M659"/>
    </row>
    <row r="660" spans="2:13" x14ac:dyDescent="0.3">
      <c r="B660"/>
      <c r="M660"/>
    </row>
    <row r="661" spans="2:13" x14ac:dyDescent="0.3">
      <c r="B661"/>
      <c r="M661"/>
    </row>
    <row r="662" spans="2:13" x14ac:dyDescent="0.3">
      <c r="B662"/>
      <c r="M662"/>
    </row>
    <row r="663" spans="2:13" x14ac:dyDescent="0.3">
      <c r="B663"/>
      <c r="M663"/>
    </row>
    <row r="664" spans="2:13" x14ac:dyDescent="0.3">
      <c r="B664"/>
      <c r="M664"/>
    </row>
    <row r="665" spans="2:13" x14ac:dyDescent="0.3">
      <c r="B665"/>
      <c r="M665"/>
    </row>
    <row r="666" spans="2:13" x14ac:dyDescent="0.3">
      <c r="B666"/>
      <c r="M666"/>
    </row>
    <row r="667" spans="2:13" x14ac:dyDescent="0.3">
      <c r="B667"/>
      <c r="M667"/>
    </row>
    <row r="668" spans="2:13" x14ac:dyDescent="0.3">
      <c r="B668"/>
      <c r="M668"/>
    </row>
    <row r="669" spans="2:13" x14ac:dyDescent="0.3">
      <c r="B669"/>
      <c r="M669"/>
    </row>
    <row r="670" spans="2:13" x14ac:dyDescent="0.3">
      <c r="B670"/>
      <c r="M670"/>
    </row>
    <row r="671" spans="2:13" x14ac:dyDescent="0.3">
      <c r="B671"/>
      <c r="M671"/>
    </row>
    <row r="672" spans="2:13" x14ac:dyDescent="0.3">
      <c r="B672"/>
      <c r="M672"/>
    </row>
    <row r="673" spans="2:13" x14ac:dyDescent="0.3">
      <c r="B673"/>
      <c r="M673"/>
    </row>
    <row r="674" spans="2:13" x14ac:dyDescent="0.3">
      <c r="B674"/>
      <c r="M674"/>
    </row>
    <row r="675" spans="2:13" x14ac:dyDescent="0.3">
      <c r="B675"/>
      <c r="M675"/>
    </row>
    <row r="676" spans="2:13" x14ac:dyDescent="0.3">
      <c r="B676"/>
      <c r="M676"/>
    </row>
    <row r="677" spans="2:13" x14ac:dyDescent="0.3">
      <c r="B677"/>
      <c r="M677"/>
    </row>
    <row r="678" spans="2:13" x14ac:dyDescent="0.3">
      <c r="B678"/>
      <c r="M678"/>
    </row>
    <row r="679" spans="2:13" x14ac:dyDescent="0.3">
      <c r="B679"/>
      <c r="M679"/>
    </row>
    <row r="680" spans="2:13" x14ac:dyDescent="0.3">
      <c r="B680"/>
      <c r="M680"/>
    </row>
    <row r="681" spans="2:13" x14ac:dyDescent="0.3">
      <c r="B681"/>
      <c r="M681"/>
    </row>
    <row r="682" spans="2:13" x14ac:dyDescent="0.3">
      <c r="B682"/>
      <c r="M682"/>
    </row>
    <row r="683" spans="2:13" x14ac:dyDescent="0.3">
      <c r="B683"/>
      <c r="M683"/>
    </row>
    <row r="684" spans="2:13" x14ac:dyDescent="0.3">
      <c r="B684"/>
      <c r="M684"/>
    </row>
    <row r="685" spans="2:13" x14ac:dyDescent="0.3">
      <c r="B685"/>
      <c r="M685"/>
    </row>
    <row r="686" spans="2:13" x14ac:dyDescent="0.3">
      <c r="B686"/>
      <c r="M686"/>
    </row>
    <row r="687" spans="2:13" x14ac:dyDescent="0.3">
      <c r="B687"/>
      <c r="M687"/>
    </row>
    <row r="688" spans="2:13" x14ac:dyDescent="0.3">
      <c r="B688"/>
      <c r="M688"/>
    </row>
    <row r="689" spans="2:13" x14ac:dyDescent="0.3">
      <c r="B689"/>
      <c r="M689"/>
    </row>
    <row r="690" spans="2:13" x14ac:dyDescent="0.3">
      <c r="B690"/>
      <c r="M690"/>
    </row>
    <row r="691" spans="2:13" x14ac:dyDescent="0.3">
      <c r="B691"/>
      <c r="M691"/>
    </row>
    <row r="692" spans="2:13" x14ac:dyDescent="0.3">
      <c r="B692"/>
      <c r="M692"/>
    </row>
    <row r="693" spans="2:13" x14ac:dyDescent="0.3">
      <c r="B693"/>
      <c r="M693"/>
    </row>
    <row r="694" spans="2:13" x14ac:dyDescent="0.3">
      <c r="B694"/>
      <c r="M694"/>
    </row>
    <row r="695" spans="2:13" x14ac:dyDescent="0.3">
      <c r="B695"/>
      <c r="M695"/>
    </row>
    <row r="696" spans="2:13" x14ac:dyDescent="0.3">
      <c r="B696"/>
      <c r="M696"/>
    </row>
    <row r="697" spans="2:13" x14ac:dyDescent="0.3">
      <c r="B697"/>
      <c r="M697"/>
    </row>
    <row r="698" spans="2:13" x14ac:dyDescent="0.3">
      <c r="B698"/>
      <c r="M698"/>
    </row>
    <row r="699" spans="2:13" x14ac:dyDescent="0.3">
      <c r="B699"/>
      <c r="M699"/>
    </row>
    <row r="700" spans="2:13" x14ac:dyDescent="0.3">
      <c r="B700"/>
      <c r="M700"/>
    </row>
    <row r="701" spans="2:13" x14ac:dyDescent="0.3">
      <c r="B701"/>
      <c r="M701"/>
    </row>
    <row r="702" spans="2:13" x14ac:dyDescent="0.3">
      <c r="B702"/>
      <c r="M702"/>
    </row>
    <row r="703" spans="2:13" x14ac:dyDescent="0.3">
      <c r="B703"/>
      <c r="M703"/>
    </row>
    <row r="704" spans="2:13" x14ac:dyDescent="0.3">
      <c r="B704"/>
      <c r="M704"/>
    </row>
    <row r="705" spans="2:13" x14ac:dyDescent="0.3">
      <c r="B705"/>
      <c r="M705"/>
    </row>
    <row r="706" spans="2:13" x14ac:dyDescent="0.3">
      <c r="B706"/>
      <c r="M706"/>
    </row>
    <row r="707" spans="2:13" x14ac:dyDescent="0.3">
      <c r="B707"/>
      <c r="M707"/>
    </row>
    <row r="708" spans="2:13" x14ac:dyDescent="0.3">
      <c r="B708"/>
      <c r="M708"/>
    </row>
    <row r="709" spans="2:13" x14ac:dyDescent="0.3">
      <c r="B709"/>
      <c r="M709"/>
    </row>
    <row r="710" spans="2:13" x14ac:dyDescent="0.3">
      <c r="B710"/>
      <c r="M710"/>
    </row>
    <row r="711" spans="2:13" x14ac:dyDescent="0.3">
      <c r="B711"/>
      <c r="M711"/>
    </row>
    <row r="712" spans="2:13" x14ac:dyDescent="0.3">
      <c r="B712"/>
      <c r="M712"/>
    </row>
    <row r="713" spans="2:13" x14ac:dyDescent="0.3">
      <c r="B713"/>
      <c r="M713"/>
    </row>
    <row r="714" spans="2:13" x14ac:dyDescent="0.3">
      <c r="B714"/>
      <c r="M714"/>
    </row>
    <row r="715" spans="2:13" x14ac:dyDescent="0.3">
      <c r="B715"/>
      <c r="M715"/>
    </row>
    <row r="716" spans="2:13" x14ac:dyDescent="0.3">
      <c r="B716"/>
      <c r="M716"/>
    </row>
    <row r="717" spans="2:13" x14ac:dyDescent="0.3">
      <c r="B717"/>
      <c r="M717"/>
    </row>
    <row r="718" spans="2:13" x14ac:dyDescent="0.3">
      <c r="B718"/>
      <c r="M718"/>
    </row>
    <row r="719" spans="2:13" x14ac:dyDescent="0.3">
      <c r="B719"/>
      <c r="M719"/>
    </row>
    <row r="720" spans="2:13" x14ac:dyDescent="0.3">
      <c r="B720"/>
      <c r="M720"/>
    </row>
    <row r="721" spans="2:13" x14ac:dyDescent="0.3">
      <c r="B721"/>
      <c r="M721"/>
    </row>
    <row r="722" spans="2:13" x14ac:dyDescent="0.3">
      <c r="B722"/>
      <c r="M722"/>
    </row>
    <row r="723" spans="2:13" x14ac:dyDescent="0.3">
      <c r="B723"/>
      <c r="M723"/>
    </row>
    <row r="724" spans="2:13" x14ac:dyDescent="0.3">
      <c r="B724"/>
      <c r="M724"/>
    </row>
    <row r="725" spans="2:13" x14ac:dyDescent="0.3">
      <c r="B725"/>
      <c r="M725"/>
    </row>
    <row r="726" spans="2:13" x14ac:dyDescent="0.3">
      <c r="B726"/>
      <c r="M726"/>
    </row>
    <row r="727" spans="2:13" x14ac:dyDescent="0.3">
      <c r="B727"/>
      <c r="M727"/>
    </row>
    <row r="728" spans="2:13" x14ac:dyDescent="0.3">
      <c r="B728"/>
      <c r="M728"/>
    </row>
    <row r="729" spans="2:13" x14ac:dyDescent="0.3">
      <c r="B729"/>
      <c r="M729"/>
    </row>
    <row r="730" spans="2:13" x14ac:dyDescent="0.3">
      <c r="B730"/>
      <c r="M730"/>
    </row>
    <row r="731" spans="2:13" x14ac:dyDescent="0.3">
      <c r="B731"/>
      <c r="M731"/>
    </row>
    <row r="732" spans="2:13" x14ac:dyDescent="0.3">
      <c r="B732"/>
      <c r="M732"/>
    </row>
    <row r="733" spans="2:13" x14ac:dyDescent="0.3">
      <c r="B733"/>
      <c r="M733"/>
    </row>
    <row r="734" spans="2:13" x14ac:dyDescent="0.3">
      <c r="B734"/>
      <c r="M734"/>
    </row>
    <row r="735" spans="2:13" x14ac:dyDescent="0.3">
      <c r="B735"/>
      <c r="M735"/>
    </row>
    <row r="736" spans="2:13" x14ac:dyDescent="0.3">
      <c r="B736"/>
      <c r="M736"/>
    </row>
    <row r="737" spans="2:13" x14ac:dyDescent="0.3">
      <c r="B737"/>
      <c r="M737"/>
    </row>
    <row r="738" spans="2:13" x14ac:dyDescent="0.3">
      <c r="B738"/>
      <c r="M738"/>
    </row>
    <row r="739" spans="2:13" x14ac:dyDescent="0.3">
      <c r="B739"/>
      <c r="M739"/>
    </row>
    <row r="740" spans="2:13" x14ac:dyDescent="0.3">
      <c r="B740"/>
      <c r="M740"/>
    </row>
    <row r="741" spans="2:13" x14ac:dyDescent="0.3">
      <c r="B741"/>
      <c r="M741"/>
    </row>
    <row r="742" spans="2:13" x14ac:dyDescent="0.3">
      <c r="B742"/>
      <c r="M742"/>
    </row>
    <row r="743" spans="2:13" x14ac:dyDescent="0.3">
      <c r="B743"/>
      <c r="M743"/>
    </row>
    <row r="744" spans="2:13" x14ac:dyDescent="0.3">
      <c r="B744"/>
      <c r="M744"/>
    </row>
    <row r="745" spans="2:13" x14ac:dyDescent="0.3">
      <c r="B745"/>
      <c r="M745"/>
    </row>
    <row r="746" spans="2:13" x14ac:dyDescent="0.3">
      <c r="B746"/>
      <c r="M746"/>
    </row>
    <row r="747" spans="2:13" x14ac:dyDescent="0.3">
      <c r="B747"/>
      <c r="M747"/>
    </row>
    <row r="748" spans="2:13" x14ac:dyDescent="0.3">
      <c r="B748"/>
      <c r="M748"/>
    </row>
    <row r="749" spans="2:13" x14ac:dyDescent="0.3">
      <c r="B749"/>
      <c r="M749"/>
    </row>
    <row r="750" spans="2:13" x14ac:dyDescent="0.3">
      <c r="B750"/>
      <c r="M750"/>
    </row>
    <row r="751" spans="2:13" x14ac:dyDescent="0.3">
      <c r="B751"/>
      <c r="M751"/>
    </row>
    <row r="752" spans="2:13" x14ac:dyDescent="0.3">
      <c r="B752"/>
      <c r="M752"/>
    </row>
    <row r="753" spans="2:13" x14ac:dyDescent="0.3">
      <c r="B753"/>
      <c r="M753"/>
    </row>
    <row r="754" spans="2:13" x14ac:dyDescent="0.3">
      <c r="B754"/>
      <c r="M754"/>
    </row>
    <row r="755" spans="2:13" x14ac:dyDescent="0.3">
      <c r="B755"/>
      <c r="M755"/>
    </row>
    <row r="756" spans="2:13" x14ac:dyDescent="0.3">
      <c r="B756"/>
      <c r="M756"/>
    </row>
    <row r="757" spans="2:13" x14ac:dyDescent="0.3">
      <c r="B757"/>
      <c r="M757"/>
    </row>
    <row r="758" spans="2:13" x14ac:dyDescent="0.3">
      <c r="B758"/>
      <c r="M758"/>
    </row>
    <row r="759" spans="2:13" x14ac:dyDescent="0.3">
      <c r="B759"/>
      <c r="M759"/>
    </row>
    <row r="760" spans="2:13" x14ac:dyDescent="0.3">
      <c r="B760"/>
      <c r="M760"/>
    </row>
    <row r="761" spans="2:13" x14ac:dyDescent="0.3">
      <c r="B761"/>
      <c r="M761"/>
    </row>
    <row r="762" spans="2:13" x14ac:dyDescent="0.3">
      <c r="B762"/>
      <c r="M762"/>
    </row>
    <row r="763" spans="2:13" x14ac:dyDescent="0.3">
      <c r="B763"/>
      <c r="M763"/>
    </row>
    <row r="764" spans="2:13" x14ac:dyDescent="0.3">
      <c r="B764"/>
      <c r="M764"/>
    </row>
    <row r="765" spans="2:13" x14ac:dyDescent="0.3">
      <c r="B765"/>
      <c r="M765"/>
    </row>
    <row r="766" spans="2:13" x14ac:dyDescent="0.3">
      <c r="B766"/>
      <c r="M766"/>
    </row>
    <row r="767" spans="2:13" x14ac:dyDescent="0.3">
      <c r="B767"/>
      <c r="M767"/>
    </row>
    <row r="768" spans="2:13" x14ac:dyDescent="0.3">
      <c r="B768"/>
      <c r="M768"/>
    </row>
    <row r="769" spans="2:13" x14ac:dyDescent="0.3">
      <c r="B769"/>
      <c r="M769"/>
    </row>
    <row r="770" spans="2:13" x14ac:dyDescent="0.3">
      <c r="B770"/>
      <c r="M770"/>
    </row>
    <row r="771" spans="2:13" x14ac:dyDescent="0.3">
      <c r="B771"/>
      <c r="M771"/>
    </row>
    <row r="772" spans="2:13" x14ac:dyDescent="0.3">
      <c r="B772"/>
      <c r="M772"/>
    </row>
    <row r="773" spans="2:13" x14ac:dyDescent="0.3">
      <c r="B773"/>
      <c r="M773"/>
    </row>
    <row r="774" spans="2:13" x14ac:dyDescent="0.3">
      <c r="B774"/>
      <c r="M774"/>
    </row>
    <row r="775" spans="2:13" x14ac:dyDescent="0.3">
      <c r="B775"/>
      <c r="M775"/>
    </row>
    <row r="776" spans="2:13" x14ac:dyDescent="0.3">
      <c r="B776"/>
      <c r="M776"/>
    </row>
    <row r="777" spans="2:13" x14ac:dyDescent="0.3">
      <c r="B777"/>
      <c r="M777"/>
    </row>
    <row r="778" spans="2:13" x14ac:dyDescent="0.3">
      <c r="B778"/>
      <c r="M778"/>
    </row>
    <row r="779" spans="2:13" x14ac:dyDescent="0.3">
      <c r="B779"/>
      <c r="M779"/>
    </row>
    <row r="780" spans="2:13" x14ac:dyDescent="0.3">
      <c r="B780"/>
      <c r="M780"/>
    </row>
    <row r="781" spans="2:13" x14ac:dyDescent="0.3">
      <c r="B781"/>
      <c r="M781"/>
    </row>
    <row r="782" spans="2:13" x14ac:dyDescent="0.3">
      <c r="B782"/>
      <c r="M782"/>
    </row>
    <row r="783" spans="2:13" x14ac:dyDescent="0.3">
      <c r="B783"/>
      <c r="M783"/>
    </row>
    <row r="784" spans="2:13" x14ac:dyDescent="0.3">
      <c r="B784"/>
      <c r="M784"/>
    </row>
    <row r="785" spans="2:13" x14ac:dyDescent="0.3">
      <c r="B785"/>
      <c r="M785"/>
    </row>
    <row r="786" spans="2:13" x14ac:dyDescent="0.3">
      <c r="B786"/>
      <c r="M786"/>
    </row>
    <row r="787" spans="2:13" x14ac:dyDescent="0.3">
      <c r="B787"/>
      <c r="M787"/>
    </row>
    <row r="788" spans="2:13" x14ac:dyDescent="0.3">
      <c r="B788"/>
      <c r="M788"/>
    </row>
    <row r="789" spans="2:13" x14ac:dyDescent="0.3">
      <c r="B789"/>
      <c r="M789"/>
    </row>
    <row r="790" spans="2:13" x14ac:dyDescent="0.3">
      <c r="B790"/>
      <c r="M790"/>
    </row>
    <row r="791" spans="2:13" x14ac:dyDescent="0.3">
      <c r="B791"/>
      <c r="M791"/>
    </row>
    <row r="792" spans="2:13" x14ac:dyDescent="0.3">
      <c r="B792"/>
      <c r="M792"/>
    </row>
    <row r="793" spans="2:13" x14ac:dyDescent="0.3">
      <c r="B793"/>
      <c r="M793"/>
    </row>
    <row r="794" spans="2:13" x14ac:dyDescent="0.3">
      <c r="B794"/>
      <c r="M794"/>
    </row>
    <row r="795" spans="2:13" x14ac:dyDescent="0.3">
      <c r="B795"/>
      <c r="M795"/>
    </row>
    <row r="796" spans="2:13" x14ac:dyDescent="0.3">
      <c r="B796"/>
      <c r="M796"/>
    </row>
    <row r="797" spans="2:13" x14ac:dyDescent="0.3">
      <c r="B797"/>
      <c r="M797"/>
    </row>
    <row r="798" spans="2:13" x14ac:dyDescent="0.3">
      <c r="B798"/>
      <c r="M798"/>
    </row>
    <row r="799" spans="2:13" x14ac:dyDescent="0.3">
      <c r="B799"/>
      <c r="M799"/>
    </row>
    <row r="800" spans="2:13" x14ac:dyDescent="0.3">
      <c r="B800"/>
      <c r="M800"/>
    </row>
    <row r="801" spans="2:13" x14ac:dyDescent="0.3">
      <c r="B801"/>
      <c r="M801"/>
    </row>
    <row r="802" spans="2:13" x14ac:dyDescent="0.3">
      <c r="B802"/>
      <c r="M802"/>
    </row>
    <row r="803" spans="2:13" x14ac:dyDescent="0.3">
      <c r="B803"/>
      <c r="M803"/>
    </row>
    <row r="804" spans="2:13" x14ac:dyDescent="0.3">
      <c r="B804"/>
      <c r="M804"/>
    </row>
    <row r="805" spans="2:13" x14ac:dyDescent="0.3">
      <c r="B805"/>
      <c r="M805"/>
    </row>
    <row r="806" spans="2:13" x14ac:dyDescent="0.3">
      <c r="B806"/>
      <c r="M806"/>
    </row>
    <row r="807" spans="2:13" x14ac:dyDescent="0.3">
      <c r="B807"/>
      <c r="M807"/>
    </row>
    <row r="808" spans="2:13" x14ac:dyDescent="0.3">
      <c r="B808"/>
      <c r="M808"/>
    </row>
    <row r="809" spans="2:13" x14ac:dyDescent="0.3">
      <c r="B809"/>
      <c r="M809"/>
    </row>
    <row r="810" spans="2:13" x14ac:dyDescent="0.3">
      <c r="B810"/>
      <c r="M810"/>
    </row>
    <row r="811" spans="2:13" x14ac:dyDescent="0.3">
      <c r="B811"/>
      <c r="M811"/>
    </row>
    <row r="812" spans="2:13" x14ac:dyDescent="0.3">
      <c r="B812"/>
      <c r="M812"/>
    </row>
    <row r="813" spans="2:13" x14ac:dyDescent="0.3">
      <c r="B813"/>
      <c r="M813"/>
    </row>
    <row r="814" spans="2:13" x14ac:dyDescent="0.3">
      <c r="B814"/>
      <c r="M814"/>
    </row>
    <row r="815" spans="2:13" x14ac:dyDescent="0.3">
      <c r="B815"/>
      <c r="M815"/>
    </row>
    <row r="816" spans="2:13" x14ac:dyDescent="0.3">
      <c r="B816"/>
      <c r="M816"/>
    </row>
    <row r="817" spans="2:13" x14ac:dyDescent="0.3">
      <c r="B817"/>
      <c r="M817"/>
    </row>
    <row r="818" spans="2:13" x14ac:dyDescent="0.3">
      <c r="B818"/>
      <c r="M818"/>
    </row>
    <row r="819" spans="2:13" x14ac:dyDescent="0.3">
      <c r="B819"/>
      <c r="M819"/>
    </row>
    <row r="820" spans="2:13" x14ac:dyDescent="0.3">
      <c r="B820"/>
      <c r="M820"/>
    </row>
    <row r="821" spans="2:13" x14ac:dyDescent="0.3">
      <c r="B821"/>
      <c r="M821"/>
    </row>
    <row r="822" spans="2:13" x14ac:dyDescent="0.3">
      <c r="B822"/>
      <c r="M822"/>
    </row>
    <row r="823" spans="2:13" x14ac:dyDescent="0.3">
      <c r="B823"/>
      <c r="M823"/>
    </row>
    <row r="824" spans="2:13" x14ac:dyDescent="0.3">
      <c r="B824"/>
      <c r="M824"/>
    </row>
    <row r="825" spans="2:13" x14ac:dyDescent="0.3">
      <c r="B825"/>
      <c r="M825"/>
    </row>
    <row r="826" spans="2:13" x14ac:dyDescent="0.3">
      <c r="B826"/>
      <c r="M826"/>
    </row>
    <row r="827" spans="2:13" x14ac:dyDescent="0.3">
      <c r="B827"/>
      <c r="M827"/>
    </row>
    <row r="828" spans="2:13" x14ac:dyDescent="0.3">
      <c r="B828"/>
      <c r="M828"/>
    </row>
    <row r="829" spans="2:13" x14ac:dyDescent="0.3">
      <c r="B829"/>
      <c r="M829"/>
    </row>
    <row r="830" spans="2:13" x14ac:dyDescent="0.3">
      <c r="B830"/>
      <c r="M830"/>
    </row>
    <row r="831" spans="2:13" x14ac:dyDescent="0.3">
      <c r="B831"/>
      <c r="M831"/>
    </row>
    <row r="832" spans="2:13" x14ac:dyDescent="0.3">
      <c r="B832"/>
      <c r="M832"/>
    </row>
    <row r="833" spans="2:13" x14ac:dyDescent="0.3">
      <c r="B833"/>
      <c r="M833"/>
    </row>
    <row r="834" spans="2:13" x14ac:dyDescent="0.3">
      <c r="B834"/>
      <c r="M834"/>
    </row>
    <row r="835" spans="2:13" x14ac:dyDescent="0.3">
      <c r="B835"/>
      <c r="M835"/>
    </row>
    <row r="836" spans="2:13" x14ac:dyDescent="0.3">
      <c r="B836"/>
      <c r="M836"/>
    </row>
    <row r="837" spans="2:13" x14ac:dyDescent="0.3">
      <c r="B837"/>
      <c r="M837"/>
    </row>
    <row r="838" spans="2:13" x14ac:dyDescent="0.3">
      <c r="B838"/>
      <c r="M838"/>
    </row>
    <row r="839" spans="2:13" x14ac:dyDescent="0.3">
      <c r="B839"/>
      <c r="M839"/>
    </row>
    <row r="840" spans="2:13" x14ac:dyDescent="0.3">
      <c r="B840"/>
      <c r="M840"/>
    </row>
    <row r="841" spans="2:13" x14ac:dyDescent="0.3">
      <c r="B841"/>
      <c r="M841"/>
    </row>
    <row r="842" spans="2:13" x14ac:dyDescent="0.3">
      <c r="B842"/>
      <c r="M842"/>
    </row>
    <row r="843" spans="2:13" x14ac:dyDescent="0.3">
      <c r="B843"/>
      <c r="M843"/>
    </row>
    <row r="844" spans="2:13" x14ac:dyDescent="0.3">
      <c r="B844"/>
      <c r="M844"/>
    </row>
    <row r="845" spans="2:13" x14ac:dyDescent="0.3">
      <c r="B845"/>
      <c r="M845"/>
    </row>
    <row r="846" spans="2:13" x14ac:dyDescent="0.3">
      <c r="B846"/>
      <c r="M846"/>
    </row>
    <row r="847" spans="2:13" x14ac:dyDescent="0.3">
      <c r="B847"/>
      <c r="M847"/>
    </row>
    <row r="848" spans="2:13" x14ac:dyDescent="0.3">
      <c r="B848"/>
      <c r="M848"/>
    </row>
    <row r="849" spans="2:13" x14ac:dyDescent="0.3">
      <c r="B849"/>
      <c r="M849"/>
    </row>
    <row r="850" spans="2:13" x14ac:dyDescent="0.3">
      <c r="B850"/>
      <c r="M850"/>
    </row>
    <row r="851" spans="2:13" x14ac:dyDescent="0.3">
      <c r="B851"/>
      <c r="M851"/>
    </row>
    <row r="852" spans="2:13" x14ac:dyDescent="0.3">
      <c r="B852"/>
      <c r="M852"/>
    </row>
    <row r="853" spans="2:13" x14ac:dyDescent="0.3">
      <c r="B853"/>
      <c r="M853"/>
    </row>
    <row r="854" spans="2:13" x14ac:dyDescent="0.3">
      <c r="B854"/>
      <c r="M854"/>
    </row>
    <row r="855" spans="2:13" x14ac:dyDescent="0.3">
      <c r="B855"/>
      <c r="M855"/>
    </row>
    <row r="856" spans="2:13" x14ac:dyDescent="0.3">
      <c r="B856"/>
      <c r="M856"/>
    </row>
    <row r="857" spans="2:13" x14ac:dyDescent="0.3">
      <c r="B857"/>
      <c r="M857"/>
    </row>
    <row r="858" spans="2:13" x14ac:dyDescent="0.3">
      <c r="B858"/>
      <c r="M858"/>
    </row>
    <row r="859" spans="2:13" x14ac:dyDescent="0.3">
      <c r="B859"/>
      <c r="M859"/>
    </row>
    <row r="860" spans="2:13" x14ac:dyDescent="0.3">
      <c r="B860"/>
      <c r="M860"/>
    </row>
    <row r="861" spans="2:13" x14ac:dyDescent="0.3">
      <c r="B861"/>
      <c r="M861"/>
    </row>
    <row r="862" spans="2:13" x14ac:dyDescent="0.3">
      <c r="B862"/>
      <c r="M862"/>
    </row>
    <row r="863" spans="2:13" x14ac:dyDescent="0.3">
      <c r="B863"/>
      <c r="M863"/>
    </row>
    <row r="864" spans="2:13" x14ac:dyDescent="0.3">
      <c r="B864"/>
      <c r="M864"/>
    </row>
    <row r="865" spans="2:13" x14ac:dyDescent="0.3">
      <c r="B865"/>
      <c r="M865"/>
    </row>
    <row r="866" spans="2:13" x14ac:dyDescent="0.3">
      <c r="B866"/>
      <c r="M866"/>
    </row>
    <row r="867" spans="2:13" x14ac:dyDescent="0.3">
      <c r="B867"/>
      <c r="M867"/>
    </row>
    <row r="868" spans="2:13" x14ac:dyDescent="0.3">
      <c r="B868"/>
      <c r="M868"/>
    </row>
    <row r="869" spans="2:13" x14ac:dyDescent="0.3">
      <c r="B869"/>
      <c r="M869"/>
    </row>
    <row r="870" spans="2:13" x14ac:dyDescent="0.3">
      <c r="B870"/>
      <c r="M870"/>
    </row>
    <row r="871" spans="2:13" x14ac:dyDescent="0.3">
      <c r="B871"/>
      <c r="M871"/>
    </row>
    <row r="872" spans="2:13" x14ac:dyDescent="0.3">
      <c r="B872"/>
      <c r="M872"/>
    </row>
    <row r="873" spans="2:13" x14ac:dyDescent="0.3">
      <c r="B873"/>
      <c r="M873"/>
    </row>
    <row r="874" spans="2:13" x14ac:dyDescent="0.3">
      <c r="B874"/>
      <c r="M874"/>
    </row>
    <row r="875" spans="2:13" x14ac:dyDescent="0.3">
      <c r="B875"/>
      <c r="M875"/>
    </row>
    <row r="876" spans="2:13" x14ac:dyDescent="0.3">
      <c r="B876"/>
      <c r="M876"/>
    </row>
    <row r="877" spans="2:13" x14ac:dyDescent="0.3">
      <c r="B877"/>
      <c r="M877"/>
    </row>
    <row r="878" spans="2:13" x14ac:dyDescent="0.3">
      <c r="B878"/>
      <c r="M878"/>
    </row>
    <row r="879" spans="2:13" x14ac:dyDescent="0.3">
      <c r="B879"/>
      <c r="M879"/>
    </row>
    <row r="880" spans="2:13" x14ac:dyDescent="0.3">
      <c r="B880"/>
      <c r="M880"/>
    </row>
    <row r="881" spans="2:13" x14ac:dyDescent="0.3">
      <c r="B881"/>
      <c r="M881"/>
    </row>
    <row r="882" spans="2:13" x14ac:dyDescent="0.3">
      <c r="B882"/>
      <c r="M882"/>
    </row>
    <row r="883" spans="2:13" x14ac:dyDescent="0.3">
      <c r="B883"/>
      <c r="M883"/>
    </row>
    <row r="884" spans="2:13" x14ac:dyDescent="0.3">
      <c r="B884"/>
      <c r="M884"/>
    </row>
    <row r="885" spans="2:13" x14ac:dyDescent="0.3">
      <c r="B885"/>
      <c r="M885"/>
    </row>
    <row r="886" spans="2:13" x14ac:dyDescent="0.3">
      <c r="B886"/>
      <c r="M886"/>
    </row>
    <row r="887" spans="2:13" x14ac:dyDescent="0.3">
      <c r="B887"/>
      <c r="M887"/>
    </row>
    <row r="888" spans="2:13" x14ac:dyDescent="0.3">
      <c r="B888"/>
      <c r="M888"/>
    </row>
    <row r="889" spans="2:13" x14ac:dyDescent="0.3">
      <c r="B889"/>
      <c r="M889"/>
    </row>
    <row r="890" spans="2:13" x14ac:dyDescent="0.3">
      <c r="B890"/>
      <c r="M890"/>
    </row>
    <row r="891" spans="2:13" x14ac:dyDescent="0.3">
      <c r="B891"/>
      <c r="M891"/>
    </row>
    <row r="892" spans="2:13" x14ac:dyDescent="0.3">
      <c r="B892"/>
      <c r="M892"/>
    </row>
    <row r="893" spans="2:13" x14ac:dyDescent="0.3">
      <c r="B893"/>
      <c r="M893"/>
    </row>
    <row r="894" spans="2:13" x14ac:dyDescent="0.3">
      <c r="B894"/>
      <c r="M894"/>
    </row>
    <row r="895" spans="2:13" x14ac:dyDescent="0.3">
      <c r="B895"/>
      <c r="M895"/>
    </row>
    <row r="896" spans="2:13" x14ac:dyDescent="0.3">
      <c r="B896"/>
      <c r="M896"/>
    </row>
    <row r="897" spans="2:13" x14ac:dyDescent="0.3">
      <c r="B897"/>
      <c r="M897"/>
    </row>
    <row r="898" spans="2:13" x14ac:dyDescent="0.3">
      <c r="B898"/>
      <c r="M898"/>
    </row>
    <row r="899" spans="2:13" x14ac:dyDescent="0.3">
      <c r="B899"/>
      <c r="M899"/>
    </row>
    <row r="900" spans="2:13" x14ac:dyDescent="0.3">
      <c r="B900"/>
      <c r="M900"/>
    </row>
    <row r="901" spans="2:13" x14ac:dyDescent="0.3">
      <c r="B901"/>
      <c r="M901"/>
    </row>
    <row r="902" spans="2:13" x14ac:dyDescent="0.3">
      <c r="B902"/>
      <c r="M902"/>
    </row>
    <row r="903" spans="2:13" x14ac:dyDescent="0.3">
      <c r="B903"/>
      <c r="M903"/>
    </row>
    <row r="904" spans="2:13" x14ac:dyDescent="0.3">
      <c r="B904"/>
      <c r="M904"/>
    </row>
    <row r="905" spans="2:13" x14ac:dyDescent="0.3">
      <c r="B905"/>
      <c r="M905"/>
    </row>
    <row r="906" spans="2:13" x14ac:dyDescent="0.3">
      <c r="B906"/>
      <c r="M906"/>
    </row>
    <row r="907" spans="2:13" x14ac:dyDescent="0.3">
      <c r="B907"/>
      <c r="M907"/>
    </row>
    <row r="908" spans="2:13" x14ac:dyDescent="0.3">
      <c r="B908"/>
      <c r="M908"/>
    </row>
    <row r="909" spans="2:13" x14ac:dyDescent="0.3">
      <c r="B909"/>
      <c r="M909"/>
    </row>
    <row r="910" spans="2:13" x14ac:dyDescent="0.3">
      <c r="B910"/>
      <c r="M910"/>
    </row>
    <row r="911" spans="2:13" x14ac:dyDescent="0.3">
      <c r="B911"/>
      <c r="M911"/>
    </row>
    <row r="912" spans="2:13" x14ac:dyDescent="0.3">
      <c r="B912"/>
      <c r="M912"/>
    </row>
    <row r="913" spans="2:13" x14ac:dyDescent="0.3">
      <c r="B913"/>
      <c r="M913"/>
    </row>
    <row r="914" spans="2:13" x14ac:dyDescent="0.3">
      <c r="B914"/>
      <c r="M914"/>
    </row>
    <row r="915" spans="2:13" x14ac:dyDescent="0.3">
      <c r="B915"/>
      <c r="M915"/>
    </row>
    <row r="916" spans="2:13" x14ac:dyDescent="0.3">
      <c r="B916"/>
      <c r="M916"/>
    </row>
    <row r="917" spans="2:13" x14ac:dyDescent="0.3">
      <c r="B917"/>
      <c r="M917"/>
    </row>
    <row r="918" spans="2:13" x14ac:dyDescent="0.3">
      <c r="B918"/>
      <c r="M918"/>
    </row>
    <row r="919" spans="2:13" x14ac:dyDescent="0.3">
      <c r="B919"/>
      <c r="M919"/>
    </row>
    <row r="920" spans="2:13" x14ac:dyDescent="0.3">
      <c r="B920"/>
      <c r="M920"/>
    </row>
    <row r="921" spans="2:13" x14ac:dyDescent="0.3">
      <c r="B921"/>
      <c r="M921"/>
    </row>
    <row r="922" spans="2:13" x14ac:dyDescent="0.3">
      <c r="B922"/>
      <c r="M922"/>
    </row>
    <row r="923" spans="2:13" x14ac:dyDescent="0.3">
      <c r="B923"/>
      <c r="M923"/>
    </row>
    <row r="924" spans="2:13" x14ac:dyDescent="0.3">
      <c r="B924"/>
      <c r="M924"/>
    </row>
    <row r="925" spans="2:13" x14ac:dyDescent="0.3">
      <c r="B925"/>
      <c r="M925"/>
    </row>
    <row r="926" spans="2:13" x14ac:dyDescent="0.3">
      <c r="B926"/>
      <c r="M926"/>
    </row>
    <row r="927" spans="2:13" x14ac:dyDescent="0.3">
      <c r="B927"/>
      <c r="M927"/>
    </row>
    <row r="928" spans="2:13" x14ac:dyDescent="0.3">
      <c r="B928"/>
      <c r="M928"/>
    </row>
    <row r="929" spans="2:13" x14ac:dyDescent="0.3">
      <c r="B929"/>
      <c r="M929"/>
    </row>
    <row r="930" spans="2:13" x14ac:dyDescent="0.3">
      <c r="B930"/>
      <c r="M930"/>
    </row>
    <row r="931" spans="2:13" x14ac:dyDescent="0.3">
      <c r="B931"/>
      <c r="M931"/>
    </row>
    <row r="932" spans="2:13" x14ac:dyDescent="0.3">
      <c r="B932"/>
      <c r="M932"/>
    </row>
    <row r="933" spans="2:13" x14ac:dyDescent="0.3">
      <c r="B933"/>
      <c r="M933"/>
    </row>
    <row r="934" spans="2:13" x14ac:dyDescent="0.3">
      <c r="B934"/>
      <c r="M934"/>
    </row>
    <row r="935" spans="2:13" x14ac:dyDescent="0.3">
      <c r="B935"/>
      <c r="M935"/>
    </row>
    <row r="936" spans="2:13" x14ac:dyDescent="0.3">
      <c r="B936"/>
      <c r="M936"/>
    </row>
    <row r="937" spans="2:13" x14ac:dyDescent="0.3">
      <c r="B937"/>
      <c r="M937"/>
    </row>
    <row r="938" spans="2:13" x14ac:dyDescent="0.3">
      <c r="B938"/>
      <c r="M938"/>
    </row>
    <row r="939" spans="2:13" x14ac:dyDescent="0.3">
      <c r="B939"/>
      <c r="M939"/>
    </row>
    <row r="940" spans="2:13" x14ac:dyDescent="0.3">
      <c r="B940"/>
      <c r="M940"/>
    </row>
    <row r="941" spans="2:13" x14ac:dyDescent="0.3">
      <c r="B941"/>
      <c r="M941"/>
    </row>
    <row r="942" spans="2:13" x14ac:dyDescent="0.3">
      <c r="B942"/>
      <c r="M942"/>
    </row>
    <row r="943" spans="2:13" x14ac:dyDescent="0.3">
      <c r="B943"/>
      <c r="M943"/>
    </row>
    <row r="944" spans="2:13" x14ac:dyDescent="0.3">
      <c r="B944"/>
      <c r="M944"/>
    </row>
    <row r="945" spans="2:13" x14ac:dyDescent="0.3">
      <c r="B945"/>
      <c r="M945"/>
    </row>
    <row r="946" spans="2:13" x14ac:dyDescent="0.3">
      <c r="B946"/>
      <c r="M946"/>
    </row>
    <row r="947" spans="2:13" x14ac:dyDescent="0.3">
      <c r="B947"/>
      <c r="M947"/>
    </row>
    <row r="948" spans="2:13" x14ac:dyDescent="0.3">
      <c r="B948"/>
      <c r="M948"/>
    </row>
    <row r="949" spans="2:13" x14ac:dyDescent="0.3">
      <c r="B949"/>
      <c r="M949"/>
    </row>
    <row r="950" spans="2:13" x14ac:dyDescent="0.3">
      <c r="B950"/>
      <c r="M950"/>
    </row>
    <row r="951" spans="2:13" x14ac:dyDescent="0.3">
      <c r="B951"/>
      <c r="M951"/>
    </row>
    <row r="952" spans="2:13" x14ac:dyDescent="0.3">
      <c r="B952"/>
      <c r="M952"/>
    </row>
    <row r="953" spans="2:13" x14ac:dyDescent="0.3">
      <c r="B953"/>
      <c r="M953"/>
    </row>
    <row r="954" spans="2:13" x14ac:dyDescent="0.3">
      <c r="B954"/>
      <c r="M954"/>
    </row>
    <row r="955" spans="2:13" x14ac:dyDescent="0.3">
      <c r="B955"/>
      <c r="M955"/>
    </row>
    <row r="956" spans="2:13" x14ac:dyDescent="0.3">
      <c r="B956"/>
      <c r="M956"/>
    </row>
    <row r="957" spans="2:13" x14ac:dyDescent="0.3">
      <c r="B957"/>
      <c r="M957"/>
    </row>
    <row r="958" spans="2:13" x14ac:dyDescent="0.3">
      <c r="B958"/>
      <c r="M958"/>
    </row>
    <row r="959" spans="2:13" x14ac:dyDescent="0.3">
      <c r="B959"/>
      <c r="M959"/>
    </row>
    <row r="960" spans="2:13" x14ac:dyDescent="0.3">
      <c r="B960"/>
      <c r="M960"/>
    </row>
    <row r="961" spans="2:13" x14ac:dyDescent="0.3">
      <c r="B961"/>
      <c r="M961"/>
    </row>
    <row r="962" spans="2:13" x14ac:dyDescent="0.3">
      <c r="B962"/>
      <c r="M962"/>
    </row>
    <row r="963" spans="2:13" x14ac:dyDescent="0.3">
      <c r="B963"/>
      <c r="M963"/>
    </row>
    <row r="964" spans="2:13" x14ac:dyDescent="0.3">
      <c r="B964"/>
      <c r="M964"/>
    </row>
    <row r="965" spans="2:13" x14ac:dyDescent="0.3">
      <c r="B965"/>
      <c r="M965"/>
    </row>
    <row r="966" spans="2:13" x14ac:dyDescent="0.3">
      <c r="B966"/>
      <c r="M966"/>
    </row>
    <row r="967" spans="2:13" x14ac:dyDescent="0.3">
      <c r="B967"/>
      <c r="M967"/>
    </row>
    <row r="968" spans="2:13" x14ac:dyDescent="0.3">
      <c r="B968"/>
      <c r="M968"/>
    </row>
    <row r="969" spans="2:13" x14ac:dyDescent="0.3">
      <c r="B969"/>
      <c r="M969"/>
    </row>
    <row r="970" spans="2:13" x14ac:dyDescent="0.3">
      <c r="B970"/>
      <c r="M970"/>
    </row>
    <row r="971" spans="2:13" x14ac:dyDescent="0.3">
      <c r="B971"/>
      <c r="M971"/>
    </row>
    <row r="972" spans="2:13" x14ac:dyDescent="0.3">
      <c r="B972"/>
      <c r="M972"/>
    </row>
    <row r="973" spans="2:13" x14ac:dyDescent="0.3">
      <c r="B973"/>
      <c r="M973"/>
    </row>
    <row r="974" spans="2:13" x14ac:dyDescent="0.3">
      <c r="B974"/>
      <c r="M974"/>
    </row>
    <row r="975" spans="2:13" x14ac:dyDescent="0.3">
      <c r="B975"/>
      <c r="M975"/>
    </row>
    <row r="976" spans="2:13" x14ac:dyDescent="0.3">
      <c r="B976"/>
      <c r="M976"/>
    </row>
    <row r="977" spans="2:13" x14ac:dyDescent="0.3">
      <c r="B977"/>
      <c r="M977"/>
    </row>
    <row r="978" spans="2:13" x14ac:dyDescent="0.3">
      <c r="B978"/>
      <c r="M978"/>
    </row>
    <row r="979" spans="2:13" x14ac:dyDescent="0.3">
      <c r="B979"/>
      <c r="M979"/>
    </row>
    <row r="980" spans="2:13" x14ac:dyDescent="0.3">
      <c r="B980"/>
      <c r="M980"/>
    </row>
    <row r="981" spans="2:13" x14ac:dyDescent="0.3">
      <c r="B981"/>
      <c r="M981"/>
    </row>
    <row r="982" spans="2:13" x14ac:dyDescent="0.3">
      <c r="B982"/>
      <c r="M982"/>
    </row>
    <row r="983" spans="2:13" x14ac:dyDescent="0.3">
      <c r="B983"/>
      <c r="M983"/>
    </row>
    <row r="984" spans="2:13" x14ac:dyDescent="0.3">
      <c r="B984"/>
      <c r="M984"/>
    </row>
    <row r="985" spans="2:13" x14ac:dyDescent="0.3">
      <c r="B985"/>
      <c r="M985"/>
    </row>
    <row r="986" spans="2:13" x14ac:dyDescent="0.3">
      <c r="B986"/>
      <c r="M986"/>
    </row>
    <row r="987" spans="2:13" x14ac:dyDescent="0.3">
      <c r="B987"/>
      <c r="M987"/>
    </row>
    <row r="988" spans="2:13" x14ac:dyDescent="0.3">
      <c r="B988"/>
      <c r="M988"/>
    </row>
    <row r="989" spans="2:13" x14ac:dyDescent="0.3">
      <c r="B989"/>
      <c r="M989"/>
    </row>
    <row r="990" spans="2:13" x14ac:dyDescent="0.3">
      <c r="B990"/>
      <c r="M990"/>
    </row>
    <row r="991" spans="2:13" x14ac:dyDescent="0.3">
      <c r="B991"/>
      <c r="M991"/>
    </row>
    <row r="992" spans="2:13" x14ac:dyDescent="0.3">
      <c r="B992"/>
      <c r="M992"/>
    </row>
    <row r="993" spans="2:13" x14ac:dyDescent="0.3">
      <c r="B993"/>
      <c r="M993"/>
    </row>
    <row r="994" spans="2:13" x14ac:dyDescent="0.3">
      <c r="B994"/>
      <c r="M994"/>
    </row>
    <row r="995" spans="2:13" x14ac:dyDescent="0.3">
      <c r="B995"/>
      <c r="M995"/>
    </row>
    <row r="996" spans="2:13" x14ac:dyDescent="0.3">
      <c r="B996"/>
      <c r="M996"/>
    </row>
    <row r="997" spans="2:13" x14ac:dyDescent="0.3">
      <c r="B997"/>
      <c r="M997"/>
    </row>
    <row r="998" spans="2:13" x14ac:dyDescent="0.3">
      <c r="B998"/>
      <c r="M998"/>
    </row>
    <row r="999" spans="2:13" x14ac:dyDescent="0.3">
      <c r="B999"/>
      <c r="M999"/>
    </row>
    <row r="1000" spans="2:13" x14ac:dyDescent="0.3">
      <c r="B1000"/>
      <c r="M1000"/>
    </row>
    <row r="1001" spans="2:13" x14ac:dyDescent="0.3">
      <c r="B1001"/>
      <c r="M1001"/>
    </row>
    <row r="1002" spans="2:13" x14ac:dyDescent="0.3">
      <c r="B1002"/>
      <c r="M1002"/>
    </row>
    <row r="1003" spans="2:13" x14ac:dyDescent="0.3">
      <c r="B1003"/>
      <c r="M1003"/>
    </row>
    <row r="1004" spans="2:13" x14ac:dyDescent="0.3">
      <c r="B1004"/>
      <c r="M1004"/>
    </row>
    <row r="1005" spans="2:13" x14ac:dyDescent="0.3">
      <c r="B1005"/>
      <c r="M1005"/>
    </row>
    <row r="1006" spans="2:13" x14ac:dyDescent="0.3">
      <c r="B1006"/>
      <c r="M1006"/>
    </row>
    <row r="1007" spans="2:13" x14ac:dyDescent="0.3">
      <c r="B1007"/>
      <c r="M1007"/>
    </row>
    <row r="1008" spans="2:13" x14ac:dyDescent="0.3">
      <c r="B1008"/>
      <c r="M1008"/>
    </row>
    <row r="1009" spans="2:13" x14ac:dyDescent="0.3">
      <c r="B1009"/>
      <c r="M1009"/>
    </row>
    <row r="1010" spans="2:13" x14ac:dyDescent="0.3">
      <c r="B1010"/>
      <c r="M1010"/>
    </row>
    <row r="1011" spans="2:13" x14ac:dyDescent="0.3">
      <c r="B1011"/>
      <c r="M1011"/>
    </row>
    <row r="1012" spans="2:13" x14ac:dyDescent="0.3">
      <c r="B1012"/>
      <c r="M1012"/>
    </row>
    <row r="1013" spans="2:13" x14ac:dyDescent="0.3">
      <c r="B1013"/>
      <c r="M1013"/>
    </row>
    <row r="1014" spans="2:13" x14ac:dyDescent="0.3">
      <c r="B1014"/>
      <c r="M1014"/>
    </row>
    <row r="1015" spans="2:13" x14ac:dyDescent="0.3">
      <c r="B1015"/>
      <c r="M1015"/>
    </row>
    <row r="1016" spans="2:13" x14ac:dyDescent="0.3">
      <c r="B1016"/>
      <c r="M1016"/>
    </row>
    <row r="1017" spans="2:13" x14ac:dyDescent="0.3">
      <c r="B1017"/>
      <c r="M1017"/>
    </row>
    <row r="1018" spans="2:13" x14ac:dyDescent="0.3">
      <c r="B1018"/>
      <c r="M1018"/>
    </row>
    <row r="1019" spans="2:13" x14ac:dyDescent="0.3">
      <c r="B1019"/>
      <c r="M1019"/>
    </row>
    <row r="1020" spans="2:13" x14ac:dyDescent="0.3">
      <c r="B1020"/>
      <c r="M1020"/>
    </row>
    <row r="1021" spans="2:13" x14ac:dyDescent="0.3">
      <c r="B1021"/>
      <c r="M1021"/>
    </row>
    <row r="1022" spans="2:13" x14ac:dyDescent="0.3">
      <c r="B1022"/>
      <c r="M1022"/>
    </row>
    <row r="1023" spans="2:13" x14ac:dyDescent="0.3">
      <c r="B1023"/>
      <c r="M1023"/>
    </row>
    <row r="1024" spans="2:13" x14ac:dyDescent="0.3">
      <c r="B1024"/>
      <c r="M1024"/>
    </row>
    <row r="1025" spans="2:13" x14ac:dyDescent="0.3">
      <c r="B1025"/>
      <c r="M1025"/>
    </row>
    <row r="1026" spans="2:13" x14ac:dyDescent="0.3">
      <c r="B1026"/>
      <c r="M1026"/>
    </row>
    <row r="1027" spans="2:13" x14ac:dyDescent="0.3">
      <c r="B1027"/>
      <c r="M1027"/>
    </row>
    <row r="1028" spans="2:13" x14ac:dyDescent="0.3">
      <c r="B1028"/>
      <c r="M1028"/>
    </row>
    <row r="1029" spans="2:13" x14ac:dyDescent="0.3">
      <c r="B1029"/>
      <c r="M1029"/>
    </row>
    <row r="1030" spans="2:13" x14ac:dyDescent="0.3">
      <c r="B1030"/>
      <c r="M1030"/>
    </row>
    <row r="1031" spans="2:13" x14ac:dyDescent="0.3">
      <c r="B1031"/>
      <c r="M1031"/>
    </row>
    <row r="1032" spans="2:13" x14ac:dyDescent="0.3">
      <c r="B1032"/>
      <c r="M1032"/>
    </row>
    <row r="1033" spans="2:13" x14ac:dyDescent="0.3">
      <c r="B1033"/>
      <c r="M1033"/>
    </row>
    <row r="1034" spans="2:13" x14ac:dyDescent="0.3">
      <c r="B1034"/>
      <c r="M1034"/>
    </row>
    <row r="1035" spans="2:13" x14ac:dyDescent="0.3">
      <c r="B1035"/>
      <c r="M1035"/>
    </row>
    <row r="1036" spans="2:13" x14ac:dyDescent="0.3">
      <c r="B1036"/>
      <c r="M1036"/>
    </row>
    <row r="1037" spans="2:13" x14ac:dyDescent="0.3">
      <c r="B1037"/>
      <c r="M1037"/>
    </row>
    <row r="1038" spans="2:13" x14ac:dyDescent="0.3">
      <c r="B1038"/>
      <c r="M1038"/>
    </row>
    <row r="1039" spans="2:13" x14ac:dyDescent="0.3">
      <c r="B1039"/>
      <c r="M1039"/>
    </row>
    <row r="1040" spans="2:13" x14ac:dyDescent="0.3">
      <c r="B1040"/>
      <c r="M1040"/>
    </row>
    <row r="1041" spans="2:13" x14ac:dyDescent="0.3">
      <c r="B1041"/>
      <c r="M1041"/>
    </row>
    <row r="1042" spans="2:13" x14ac:dyDescent="0.3">
      <c r="B1042"/>
      <c r="M1042"/>
    </row>
    <row r="1043" spans="2:13" x14ac:dyDescent="0.3">
      <c r="B1043"/>
      <c r="M1043"/>
    </row>
    <row r="1044" spans="2:13" x14ac:dyDescent="0.3">
      <c r="B1044"/>
      <c r="M1044"/>
    </row>
    <row r="1045" spans="2:13" x14ac:dyDescent="0.3">
      <c r="B1045"/>
      <c r="M1045"/>
    </row>
    <row r="1046" spans="2:13" x14ac:dyDescent="0.3">
      <c r="B1046"/>
      <c r="M1046"/>
    </row>
    <row r="1047" spans="2:13" x14ac:dyDescent="0.3">
      <c r="B1047"/>
      <c r="M1047"/>
    </row>
    <row r="1048" spans="2:13" x14ac:dyDescent="0.3">
      <c r="B1048"/>
      <c r="M1048"/>
    </row>
    <row r="1049" spans="2:13" x14ac:dyDescent="0.3">
      <c r="B1049"/>
      <c r="M1049"/>
    </row>
    <row r="1050" spans="2:13" x14ac:dyDescent="0.3">
      <c r="B1050"/>
      <c r="M1050"/>
    </row>
    <row r="1051" spans="2:13" x14ac:dyDescent="0.3">
      <c r="B1051"/>
      <c r="M1051"/>
    </row>
    <row r="1052" spans="2:13" x14ac:dyDescent="0.3">
      <c r="B1052"/>
      <c r="M1052"/>
    </row>
    <row r="1053" spans="2:13" x14ac:dyDescent="0.3">
      <c r="B1053"/>
      <c r="M1053"/>
    </row>
    <row r="1054" spans="2:13" x14ac:dyDescent="0.3">
      <c r="B1054"/>
      <c r="M1054"/>
    </row>
    <row r="1055" spans="2:13" x14ac:dyDescent="0.3">
      <c r="B1055"/>
      <c r="M1055"/>
    </row>
    <row r="1056" spans="2:13" x14ac:dyDescent="0.3">
      <c r="B1056"/>
      <c r="M1056"/>
    </row>
    <row r="1057" spans="2:13" x14ac:dyDescent="0.3">
      <c r="B1057"/>
      <c r="M1057"/>
    </row>
    <row r="1058" spans="2:13" x14ac:dyDescent="0.3">
      <c r="B1058"/>
      <c r="M1058"/>
    </row>
    <row r="1059" spans="2:13" x14ac:dyDescent="0.3">
      <c r="B1059"/>
      <c r="M1059"/>
    </row>
    <row r="1060" spans="2:13" x14ac:dyDescent="0.3">
      <c r="B1060"/>
      <c r="M1060"/>
    </row>
    <row r="1061" spans="2:13" x14ac:dyDescent="0.3">
      <c r="B1061"/>
      <c r="M1061"/>
    </row>
    <row r="1062" spans="2:13" x14ac:dyDescent="0.3">
      <c r="B1062"/>
      <c r="M1062"/>
    </row>
    <row r="1063" spans="2:13" x14ac:dyDescent="0.3">
      <c r="B1063"/>
      <c r="M1063"/>
    </row>
    <row r="1064" spans="2:13" x14ac:dyDescent="0.3">
      <c r="B1064"/>
      <c r="M1064"/>
    </row>
    <row r="1065" spans="2:13" x14ac:dyDescent="0.3">
      <c r="B1065"/>
      <c r="M1065"/>
    </row>
    <row r="1066" spans="2:13" x14ac:dyDescent="0.3">
      <c r="B1066"/>
      <c r="M1066"/>
    </row>
    <row r="1067" spans="2:13" x14ac:dyDescent="0.3">
      <c r="B1067"/>
      <c r="M1067"/>
    </row>
    <row r="1068" spans="2:13" x14ac:dyDescent="0.3">
      <c r="B1068"/>
      <c r="M1068"/>
    </row>
    <row r="1069" spans="2:13" x14ac:dyDescent="0.3">
      <c r="B1069"/>
      <c r="M1069"/>
    </row>
    <row r="1070" spans="2:13" x14ac:dyDescent="0.3">
      <c r="B1070"/>
      <c r="M1070"/>
    </row>
    <row r="1071" spans="2:13" x14ac:dyDescent="0.3">
      <c r="B1071"/>
      <c r="M1071"/>
    </row>
    <row r="1072" spans="2:13" x14ac:dyDescent="0.3">
      <c r="B1072"/>
      <c r="M1072"/>
    </row>
    <row r="1073" spans="2:13" x14ac:dyDescent="0.3">
      <c r="B1073"/>
      <c r="M1073"/>
    </row>
    <row r="1074" spans="2:13" x14ac:dyDescent="0.3">
      <c r="B1074"/>
      <c r="M1074"/>
    </row>
    <row r="1075" spans="2:13" x14ac:dyDescent="0.3">
      <c r="B1075"/>
      <c r="M1075"/>
    </row>
    <row r="1076" spans="2:13" x14ac:dyDescent="0.3">
      <c r="B1076"/>
      <c r="M1076"/>
    </row>
    <row r="1077" spans="2:13" x14ac:dyDescent="0.3">
      <c r="B1077"/>
      <c r="M1077"/>
    </row>
    <row r="1078" spans="2:13" x14ac:dyDescent="0.3">
      <c r="B1078"/>
      <c r="M1078"/>
    </row>
    <row r="1079" spans="2:13" x14ac:dyDescent="0.3">
      <c r="B1079"/>
      <c r="M1079"/>
    </row>
    <row r="1080" spans="2:13" x14ac:dyDescent="0.3">
      <c r="B1080"/>
      <c r="M1080"/>
    </row>
    <row r="1081" spans="2:13" x14ac:dyDescent="0.3">
      <c r="B1081"/>
      <c r="M1081"/>
    </row>
    <row r="1082" spans="2:13" x14ac:dyDescent="0.3">
      <c r="B1082"/>
      <c r="M1082"/>
    </row>
    <row r="1083" spans="2:13" x14ac:dyDescent="0.3">
      <c r="B1083"/>
      <c r="M1083"/>
    </row>
    <row r="1084" spans="2:13" x14ac:dyDescent="0.3">
      <c r="B1084"/>
      <c r="M1084"/>
    </row>
    <row r="1085" spans="2:13" x14ac:dyDescent="0.3">
      <c r="B1085"/>
      <c r="M1085"/>
    </row>
    <row r="1086" spans="2:13" x14ac:dyDescent="0.3">
      <c r="B1086"/>
      <c r="M1086"/>
    </row>
    <row r="1087" spans="2:13" x14ac:dyDescent="0.3">
      <c r="B1087"/>
      <c r="M1087"/>
    </row>
    <row r="1088" spans="2:13" x14ac:dyDescent="0.3">
      <c r="B1088"/>
      <c r="M1088"/>
    </row>
    <row r="1089" spans="2:13" x14ac:dyDescent="0.3">
      <c r="B1089"/>
      <c r="M1089"/>
    </row>
    <row r="1090" spans="2:13" x14ac:dyDescent="0.3">
      <c r="B1090"/>
      <c r="M1090"/>
    </row>
    <row r="1091" spans="2:13" x14ac:dyDescent="0.3">
      <c r="B1091"/>
      <c r="M1091"/>
    </row>
    <row r="1092" spans="2:13" x14ac:dyDescent="0.3">
      <c r="B1092"/>
      <c r="M1092"/>
    </row>
    <row r="1093" spans="2:13" x14ac:dyDescent="0.3">
      <c r="B1093"/>
      <c r="M1093"/>
    </row>
    <row r="1094" spans="2:13" x14ac:dyDescent="0.3">
      <c r="B1094"/>
      <c r="M1094"/>
    </row>
    <row r="1095" spans="2:13" x14ac:dyDescent="0.3">
      <c r="B1095"/>
      <c r="M1095"/>
    </row>
    <row r="1096" spans="2:13" x14ac:dyDescent="0.3">
      <c r="B1096"/>
      <c r="M1096"/>
    </row>
    <row r="1097" spans="2:13" x14ac:dyDescent="0.3">
      <c r="B1097"/>
      <c r="M1097"/>
    </row>
    <row r="1098" spans="2:13" x14ac:dyDescent="0.3">
      <c r="B1098"/>
      <c r="M1098"/>
    </row>
    <row r="1099" spans="2:13" x14ac:dyDescent="0.3">
      <c r="B1099"/>
      <c r="M1099"/>
    </row>
    <row r="1100" spans="2:13" x14ac:dyDescent="0.3">
      <c r="B1100"/>
      <c r="M1100"/>
    </row>
    <row r="1101" spans="2:13" x14ac:dyDescent="0.3">
      <c r="B1101"/>
      <c r="M1101"/>
    </row>
    <row r="1102" spans="2:13" x14ac:dyDescent="0.3">
      <c r="B1102"/>
      <c r="M1102"/>
    </row>
    <row r="1103" spans="2:13" x14ac:dyDescent="0.3">
      <c r="B1103"/>
      <c r="M1103"/>
    </row>
    <row r="1104" spans="2:13" x14ac:dyDescent="0.3">
      <c r="B1104"/>
      <c r="M1104"/>
    </row>
    <row r="1105" spans="2:13" x14ac:dyDescent="0.3">
      <c r="B1105"/>
      <c r="M1105"/>
    </row>
    <row r="1106" spans="2:13" x14ac:dyDescent="0.3">
      <c r="B1106"/>
      <c r="M1106"/>
    </row>
    <row r="1107" spans="2:13" x14ac:dyDescent="0.3">
      <c r="B1107"/>
      <c r="M1107"/>
    </row>
    <row r="1108" spans="2:13" x14ac:dyDescent="0.3">
      <c r="B1108"/>
      <c r="M1108"/>
    </row>
    <row r="1109" spans="2:13" x14ac:dyDescent="0.3">
      <c r="B1109"/>
      <c r="M1109"/>
    </row>
    <row r="1110" spans="2:13" x14ac:dyDescent="0.3">
      <c r="B1110"/>
      <c r="M1110"/>
    </row>
    <row r="1111" spans="2:13" x14ac:dyDescent="0.3">
      <c r="B1111"/>
      <c r="M1111"/>
    </row>
    <row r="1112" spans="2:13" x14ac:dyDescent="0.3">
      <c r="B1112"/>
      <c r="M1112"/>
    </row>
    <row r="1113" spans="2:13" x14ac:dyDescent="0.3">
      <c r="B1113"/>
      <c r="M1113"/>
    </row>
    <row r="1114" spans="2:13" x14ac:dyDescent="0.3">
      <c r="B1114"/>
      <c r="M1114"/>
    </row>
    <row r="1115" spans="2:13" x14ac:dyDescent="0.3">
      <c r="B1115"/>
      <c r="M1115"/>
    </row>
    <row r="1116" spans="2:13" x14ac:dyDescent="0.3">
      <c r="B1116"/>
      <c r="M1116"/>
    </row>
    <row r="1117" spans="2:13" x14ac:dyDescent="0.3">
      <c r="B1117"/>
      <c r="M1117"/>
    </row>
    <row r="1118" spans="2:13" x14ac:dyDescent="0.3">
      <c r="B1118"/>
      <c r="M1118"/>
    </row>
    <row r="1119" spans="2:13" x14ac:dyDescent="0.3">
      <c r="B1119"/>
      <c r="M1119"/>
    </row>
    <row r="1120" spans="2:13" x14ac:dyDescent="0.3">
      <c r="B1120"/>
      <c r="M1120"/>
    </row>
    <row r="1121" spans="2:13" x14ac:dyDescent="0.3">
      <c r="B1121"/>
      <c r="M1121"/>
    </row>
    <row r="1122" spans="2:13" x14ac:dyDescent="0.3">
      <c r="B1122"/>
      <c r="M1122"/>
    </row>
    <row r="1123" spans="2:13" x14ac:dyDescent="0.3">
      <c r="B1123"/>
      <c r="M1123"/>
    </row>
    <row r="1124" spans="2:13" x14ac:dyDescent="0.3">
      <c r="B1124"/>
      <c r="M1124"/>
    </row>
    <row r="1125" spans="2:13" x14ac:dyDescent="0.3">
      <c r="B1125"/>
      <c r="M1125"/>
    </row>
    <row r="1126" spans="2:13" x14ac:dyDescent="0.3">
      <c r="B1126"/>
      <c r="M1126"/>
    </row>
    <row r="1127" spans="2:13" x14ac:dyDescent="0.3">
      <c r="B1127"/>
      <c r="M1127"/>
    </row>
    <row r="1128" spans="2:13" x14ac:dyDescent="0.3">
      <c r="B1128"/>
      <c r="M1128"/>
    </row>
    <row r="1129" spans="2:13" x14ac:dyDescent="0.3">
      <c r="B1129"/>
      <c r="M1129"/>
    </row>
    <row r="1130" spans="2:13" x14ac:dyDescent="0.3">
      <c r="B1130"/>
      <c r="M1130"/>
    </row>
    <row r="1131" spans="2:13" x14ac:dyDescent="0.3">
      <c r="B1131"/>
      <c r="M1131"/>
    </row>
    <row r="1132" spans="2:13" x14ac:dyDescent="0.3">
      <c r="B1132"/>
      <c r="M1132"/>
    </row>
    <row r="1133" spans="2:13" x14ac:dyDescent="0.3">
      <c r="B1133"/>
      <c r="M1133"/>
    </row>
    <row r="1134" spans="2:13" x14ac:dyDescent="0.3">
      <c r="B1134"/>
      <c r="M1134"/>
    </row>
    <row r="1135" spans="2:13" x14ac:dyDescent="0.3">
      <c r="B1135"/>
      <c r="M1135"/>
    </row>
    <row r="1136" spans="2:13" x14ac:dyDescent="0.3">
      <c r="B1136"/>
      <c r="M1136"/>
    </row>
    <row r="1137" spans="2:13" x14ac:dyDescent="0.3">
      <c r="B1137"/>
      <c r="M1137"/>
    </row>
    <row r="1138" spans="2:13" x14ac:dyDescent="0.3">
      <c r="B1138"/>
      <c r="M1138"/>
    </row>
    <row r="1139" spans="2:13" x14ac:dyDescent="0.3">
      <c r="B1139"/>
      <c r="M1139"/>
    </row>
    <row r="1140" spans="2:13" x14ac:dyDescent="0.3">
      <c r="B1140"/>
      <c r="M1140"/>
    </row>
    <row r="1141" spans="2:13" x14ac:dyDescent="0.3">
      <c r="B1141"/>
      <c r="M1141"/>
    </row>
    <row r="1142" spans="2:13" x14ac:dyDescent="0.3">
      <c r="B1142"/>
      <c r="M1142"/>
    </row>
    <row r="1143" spans="2:13" x14ac:dyDescent="0.3">
      <c r="B1143"/>
      <c r="M1143"/>
    </row>
    <row r="1144" spans="2:13" x14ac:dyDescent="0.3">
      <c r="B1144"/>
      <c r="M1144"/>
    </row>
    <row r="1145" spans="2:13" x14ac:dyDescent="0.3">
      <c r="B1145"/>
      <c r="M1145"/>
    </row>
    <row r="1146" spans="2:13" x14ac:dyDescent="0.3">
      <c r="B1146"/>
      <c r="M1146"/>
    </row>
    <row r="1147" spans="2:13" x14ac:dyDescent="0.3">
      <c r="B1147"/>
      <c r="M1147"/>
    </row>
    <row r="1148" spans="2:13" x14ac:dyDescent="0.3">
      <c r="B1148"/>
      <c r="M1148"/>
    </row>
    <row r="1149" spans="2:13" x14ac:dyDescent="0.3">
      <c r="B1149"/>
      <c r="M1149"/>
    </row>
    <row r="1150" spans="2:13" x14ac:dyDescent="0.3">
      <c r="B1150"/>
      <c r="M1150"/>
    </row>
    <row r="1151" spans="2:13" x14ac:dyDescent="0.3">
      <c r="B1151"/>
      <c r="M1151"/>
    </row>
    <row r="1152" spans="2:13" x14ac:dyDescent="0.3">
      <c r="B1152"/>
      <c r="M1152"/>
    </row>
    <row r="1153" spans="2:13" x14ac:dyDescent="0.3">
      <c r="B1153"/>
      <c r="M1153"/>
    </row>
    <row r="1154" spans="2:13" x14ac:dyDescent="0.3">
      <c r="B1154"/>
      <c r="M1154"/>
    </row>
    <row r="1155" spans="2:13" x14ac:dyDescent="0.3">
      <c r="B1155"/>
      <c r="M1155"/>
    </row>
    <row r="1156" spans="2:13" x14ac:dyDescent="0.3">
      <c r="B1156"/>
      <c r="M1156"/>
    </row>
    <row r="1157" spans="2:13" x14ac:dyDescent="0.3">
      <c r="B1157"/>
      <c r="M1157"/>
    </row>
    <row r="1158" spans="2:13" x14ac:dyDescent="0.3">
      <c r="B1158"/>
      <c r="M1158"/>
    </row>
    <row r="1159" spans="2:13" x14ac:dyDescent="0.3">
      <c r="B1159"/>
      <c r="M1159"/>
    </row>
    <row r="1160" spans="2:13" x14ac:dyDescent="0.3">
      <c r="B1160"/>
      <c r="M1160"/>
    </row>
    <row r="1161" spans="2:13" x14ac:dyDescent="0.3">
      <c r="B1161"/>
      <c r="M1161"/>
    </row>
    <row r="1162" spans="2:13" x14ac:dyDescent="0.3">
      <c r="B1162"/>
      <c r="M1162"/>
    </row>
    <row r="1163" spans="2:13" x14ac:dyDescent="0.3">
      <c r="B1163"/>
      <c r="M1163"/>
    </row>
    <row r="1164" spans="2:13" x14ac:dyDescent="0.3">
      <c r="B1164"/>
      <c r="M1164"/>
    </row>
    <row r="1165" spans="2:13" x14ac:dyDescent="0.3">
      <c r="B1165"/>
      <c r="M1165"/>
    </row>
    <row r="1166" spans="2:13" x14ac:dyDescent="0.3">
      <c r="B1166"/>
      <c r="M1166"/>
    </row>
    <row r="1167" spans="2:13" x14ac:dyDescent="0.3">
      <c r="B1167"/>
      <c r="M1167"/>
    </row>
    <row r="1168" spans="2:13" x14ac:dyDescent="0.3">
      <c r="B1168"/>
      <c r="M1168"/>
    </row>
    <row r="1169" spans="2:13" x14ac:dyDescent="0.3">
      <c r="B1169"/>
      <c r="M1169"/>
    </row>
    <row r="1170" spans="2:13" x14ac:dyDescent="0.3">
      <c r="B1170"/>
      <c r="M1170"/>
    </row>
    <row r="1171" spans="2:13" x14ac:dyDescent="0.3">
      <c r="B1171"/>
      <c r="M1171"/>
    </row>
    <row r="1172" spans="2:13" x14ac:dyDescent="0.3">
      <c r="B1172"/>
      <c r="M1172"/>
    </row>
    <row r="1173" spans="2:13" x14ac:dyDescent="0.3">
      <c r="B1173"/>
      <c r="M1173"/>
    </row>
    <row r="1174" spans="2:13" x14ac:dyDescent="0.3">
      <c r="B1174"/>
      <c r="M1174"/>
    </row>
    <row r="1175" spans="2:13" x14ac:dyDescent="0.3">
      <c r="B1175"/>
      <c r="M1175"/>
    </row>
    <row r="1176" spans="2:13" x14ac:dyDescent="0.3">
      <c r="B1176"/>
      <c r="M1176"/>
    </row>
    <row r="1177" spans="2:13" x14ac:dyDescent="0.3">
      <c r="B1177"/>
      <c r="M1177"/>
    </row>
    <row r="1178" spans="2:13" x14ac:dyDescent="0.3">
      <c r="B1178"/>
      <c r="M1178"/>
    </row>
    <row r="1179" spans="2:13" x14ac:dyDescent="0.3">
      <c r="B1179"/>
      <c r="M1179"/>
    </row>
    <row r="1180" spans="2:13" x14ac:dyDescent="0.3">
      <c r="B1180"/>
      <c r="M1180"/>
    </row>
    <row r="1181" spans="2:13" x14ac:dyDescent="0.3">
      <c r="B1181"/>
      <c r="M1181"/>
    </row>
    <row r="1182" spans="2:13" x14ac:dyDescent="0.3">
      <c r="B1182"/>
      <c r="M1182"/>
    </row>
    <row r="1183" spans="2:13" x14ac:dyDescent="0.3">
      <c r="B1183"/>
      <c r="M1183"/>
    </row>
    <row r="1184" spans="2:13" x14ac:dyDescent="0.3">
      <c r="B1184"/>
      <c r="M1184"/>
    </row>
    <row r="1185" spans="2:13" x14ac:dyDescent="0.3">
      <c r="B1185"/>
      <c r="M1185"/>
    </row>
    <row r="1186" spans="2:13" x14ac:dyDescent="0.3">
      <c r="B1186"/>
      <c r="M1186"/>
    </row>
    <row r="1187" spans="2:13" x14ac:dyDescent="0.3">
      <c r="B1187"/>
      <c r="M1187"/>
    </row>
    <row r="1188" spans="2:13" x14ac:dyDescent="0.3">
      <c r="B1188"/>
      <c r="M1188"/>
    </row>
    <row r="1189" spans="2:13" x14ac:dyDescent="0.3">
      <c r="B1189"/>
      <c r="M1189"/>
    </row>
    <row r="1190" spans="2:13" x14ac:dyDescent="0.3">
      <c r="B1190"/>
      <c r="M1190"/>
    </row>
    <row r="1191" spans="2:13" x14ac:dyDescent="0.3">
      <c r="B1191"/>
      <c r="M1191"/>
    </row>
    <row r="1192" spans="2:13" x14ac:dyDescent="0.3">
      <c r="B1192"/>
      <c r="M1192"/>
    </row>
    <row r="1193" spans="2:13" x14ac:dyDescent="0.3">
      <c r="B1193"/>
      <c r="M1193"/>
    </row>
    <row r="1194" spans="2:13" x14ac:dyDescent="0.3">
      <c r="B1194"/>
      <c r="M1194"/>
    </row>
    <row r="1195" spans="2:13" x14ac:dyDescent="0.3">
      <c r="B1195"/>
      <c r="M1195"/>
    </row>
    <row r="1196" spans="2:13" x14ac:dyDescent="0.3">
      <c r="B1196"/>
      <c r="M1196"/>
    </row>
    <row r="1197" spans="2:13" x14ac:dyDescent="0.3">
      <c r="B1197"/>
      <c r="M1197"/>
    </row>
    <row r="1198" spans="2:13" x14ac:dyDescent="0.3">
      <c r="B1198"/>
      <c r="M1198"/>
    </row>
    <row r="1199" spans="2:13" x14ac:dyDescent="0.3">
      <c r="B1199"/>
      <c r="M1199"/>
    </row>
    <row r="1200" spans="2:13" x14ac:dyDescent="0.3">
      <c r="B1200"/>
      <c r="M1200"/>
    </row>
    <row r="1201" spans="2:13" x14ac:dyDescent="0.3">
      <c r="B1201"/>
      <c r="M1201"/>
    </row>
    <row r="1202" spans="2:13" x14ac:dyDescent="0.3">
      <c r="B1202"/>
      <c r="M1202"/>
    </row>
    <row r="1203" spans="2:13" x14ac:dyDescent="0.3">
      <c r="B1203"/>
      <c r="M1203"/>
    </row>
    <row r="1204" spans="2:13" x14ac:dyDescent="0.3">
      <c r="B1204"/>
      <c r="M1204"/>
    </row>
    <row r="1205" spans="2:13" x14ac:dyDescent="0.3">
      <c r="B1205"/>
      <c r="M1205"/>
    </row>
    <row r="1206" spans="2:13" x14ac:dyDescent="0.3">
      <c r="B1206"/>
      <c r="M1206"/>
    </row>
    <row r="1207" spans="2:13" x14ac:dyDescent="0.3">
      <c r="B1207"/>
      <c r="M1207"/>
    </row>
    <row r="1208" spans="2:13" x14ac:dyDescent="0.3">
      <c r="B1208"/>
      <c r="M1208"/>
    </row>
    <row r="1209" spans="2:13" x14ac:dyDescent="0.3">
      <c r="B1209"/>
      <c r="M1209"/>
    </row>
    <row r="1210" spans="2:13" x14ac:dyDescent="0.3">
      <c r="B1210"/>
      <c r="M1210"/>
    </row>
    <row r="1211" spans="2:13" x14ac:dyDescent="0.3">
      <c r="B1211"/>
      <c r="M1211"/>
    </row>
    <row r="1212" spans="2:13" x14ac:dyDescent="0.3">
      <c r="B1212"/>
      <c r="M1212"/>
    </row>
    <row r="1213" spans="2:13" x14ac:dyDescent="0.3">
      <c r="B1213"/>
      <c r="M1213"/>
    </row>
    <row r="1214" spans="2:13" x14ac:dyDescent="0.3">
      <c r="B1214"/>
      <c r="M1214"/>
    </row>
    <row r="1215" spans="2:13" x14ac:dyDescent="0.3">
      <c r="B1215"/>
      <c r="M1215"/>
    </row>
    <row r="1216" spans="2:13" x14ac:dyDescent="0.3">
      <c r="B1216"/>
      <c r="M1216"/>
    </row>
    <row r="1217" spans="2:13" x14ac:dyDescent="0.3">
      <c r="B1217"/>
      <c r="M1217"/>
    </row>
    <row r="1218" spans="2:13" x14ac:dyDescent="0.3">
      <c r="B1218"/>
      <c r="M1218"/>
    </row>
    <row r="1219" spans="2:13" x14ac:dyDescent="0.3">
      <c r="B1219"/>
      <c r="M1219"/>
    </row>
    <row r="1220" spans="2:13" x14ac:dyDescent="0.3">
      <c r="B1220"/>
      <c r="M1220"/>
    </row>
    <row r="1221" spans="2:13" x14ac:dyDescent="0.3">
      <c r="B1221"/>
      <c r="M1221"/>
    </row>
    <row r="1222" spans="2:13" x14ac:dyDescent="0.3">
      <c r="B1222"/>
      <c r="M1222"/>
    </row>
    <row r="1223" spans="2:13" x14ac:dyDescent="0.3">
      <c r="B1223"/>
      <c r="M1223"/>
    </row>
    <row r="1224" spans="2:13" x14ac:dyDescent="0.3">
      <c r="B1224"/>
      <c r="M1224"/>
    </row>
    <row r="1225" spans="2:13" x14ac:dyDescent="0.3">
      <c r="B1225"/>
      <c r="M1225"/>
    </row>
    <row r="1226" spans="2:13" x14ac:dyDescent="0.3">
      <c r="B1226"/>
      <c r="M1226"/>
    </row>
    <row r="1227" spans="2:13" x14ac:dyDescent="0.3">
      <c r="B1227"/>
      <c r="M1227"/>
    </row>
    <row r="1228" spans="2:13" x14ac:dyDescent="0.3">
      <c r="B1228"/>
      <c r="M1228"/>
    </row>
    <row r="1229" spans="2:13" x14ac:dyDescent="0.3">
      <c r="B1229"/>
      <c r="M1229"/>
    </row>
    <row r="1230" spans="2:13" x14ac:dyDescent="0.3">
      <c r="B1230"/>
      <c r="M1230"/>
    </row>
    <row r="1231" spans="2:13" x14ac:dyDescent="0.3">
      <c r="B1231"/>
      <c r="M1231"/>
    </row>
    <row r="1232" spans="2:13" x14ac:dyDescent="0.3">
      <c r="B1232"/>
      <c r="M1232"/>
    </row>
    <row r="1233" spans="2:13" x14ac:dyDescent="0.3">
      <c r="B1233"/>
      <c r="M1233"/>
    </row>
    <row r="1234" spans="2:13" x14ac:dyDescent="0.3">
      <c r="B1234"/>
      <c r="M1234"/>
    </row>
    <row r="1235" spans="2:13" x14ac:dyDescent="0.3">
      <c r="B1235"/>
      <c r="M1235"/>
    </row>
    <row r="1236" spans="2:13" x14ac:dyDescent="0.3">
      <c r="B1236"/>
      <c r="M1236"/>
    </row>
    <row r="1237" spans="2:13" x14ac:dyDescent="0.3">
      <c r="B1237"/>
      <c r="M1237"/>
    </row>
    <row r="1238" spans="2:13" x14ac:dyDescent="0.3">
      <c r="B1238"/>
      <c r="M1238"/>
    </row>
    <row r="1239" spans="2:13" x14ac:dyDescent="0.3">
      <c r="B1239"/>
      <c r="M1239"/>
    </row>
    <row r="1240" spans="2:13" x14ac:dyDescent="0.3">
      <c r="B1240"/>
      <c r="M1240"/>
    </row>
    <row r="1241" spans="2:13" x14ac:dyDescent="0.3">
      <c r="B1241"/>
      <c r="M1241"/>
    </row>
    <row r="1242" spans="2:13" x14ac:dyDescent="0.3">
      <c r="B1242"/>
      <c r="M1242"/>
    </row>
    <row r="1243" spans="2:13" x14ac:dyDescent="0.3">
      <c r="B1243"/>
      <c r="M1243"/>
    </row>
    <row r="1244" spans="2:13" x14ac:dyDescent="0.3">
      <c r="B1244"/>
      <c r="M1244"/>
    </row>
    <row r="1245" spans="2:13" x14ac:dyDescent="0.3">
      <c r="B1245"/>
      <c r="M1245"/>
    </row>
    <row r="1246" spans="2:13" x14ac:dyDescent="0.3">
      <c r="B1246"/>
      <c r="M1246"/>
    </row>
    <row r="1247" spans="2:13" x14ac:dyDescent="0.3">
      <c r="B1247"/>
      <c r="M1247"/>
    </row>
    <row r="1248" spans="2:13" x14ac:dyDescent="0.3">
      <c r="B1248"/>
      <c r="M1248"/>
    </row>
    <row r="1249" spans="2:13" x14ac:dyDescent="0.3">
      <c r="B1249"/>
      <c r="M1249"/>
    </row>
    <row r="1250" spans="2:13" x14ac:dyDescent="0.3">
      <c r="B1250"/>
      <c r="M1250"/>
    </row>
    <row r="1251" spans="2:13" x14ac:dyDescent="0.3">
      <c r="B1251"/>
      <c r="M1251"/>
    </row>
    <row r="1252" spans="2:13" x14ac:dyDescent="0.3">
      <c r="B1252"/>
      <c r="M1252"/>
    </row>
    <row r="1253" spans="2:13" x14ac:dyDescent="0.3">
      <c r="B1253"/>
      <c r="M1253"/>
    </row>
    <row r="1254" spans="2:13" x14ac:dyDescent="0.3">
      <c r="B1254"/>
      <c r="M1254"/>
    </row>
    <row r="1255" spans="2:13" x14ac:dyDescent="0.3">
      <c r="B1255"/>
      <c r="M1255"/>
    </row>
    <row r="1256" spans="2:13" x14ac:dyDescent="0.3">
      <c r="B1256"/>
      <c r="M1256"/>
    </row>
    <row r="1257" spans="2:13" x14ac:dyDescent="0.3">
      <c r="B1257"/>
      <c r="M1257"/>
    </row>
    <row r="1258" spans="2:13" x14ac:dyDescent="0.3">
      <c r="B1258"/>
      <c r="M1258"/>
    </row>
    <row r="1259" spans="2:13" x14ac:dyDescent="0.3">
      <c r="B1259"/>
      <c r="M1259"/>
    </row>
    <row r="1260" spans="2:13" x14ac:dyDescent="0.3">
      <c r="B1260"/>
      <c r="M1260"/>
    </row>
    <row r="1261" spans="2:13" x14ac:dyDescent="0.3">
      <c r="B1261"/>
      <c r="M1261"/>
    </row>
    <row r="1262" spans="2:13" x14ac:dyDescent="0.3">
      <c r="B1262"/>
      <c r="M1262"/>
    </row>
    <row r="1263" spans="2:13" x14ac:dyDescent="0.3">
      <c r="B1263"/>
      <c r="M1263"/>
    </row>
    <row r="1264" spans="2:13" x14ac:dyDescent="0.3">
      <c r="B1264"/>
      <c r="M1264"/>
    </row>
    <row r="1265" spans="2:13" x14ac:dyDescent="0.3">
      <c r="B1265"/>
      <c r="M1265"/>
    </row>
    <row r="1266" spans="2:13" x14ac:dyDescent="0.3">
      <c r="B1266"/>
      <c r="M1266"/>
    </row>
    <row r="1267" spans="2:13" x14ac:dyDescent="0.3">
      <c r="B1267"/>
      <c r="M1267"/>
    </row>
    <row r="1268" spans="2:13" x14ac:dyDescent="0.3">
      <c r="B1268"/>
      <c r="M1268"/>
    </row>
    <row r="1269" spans="2:13" x14ac:dyDescent="0.3">
      <c r="B1269"/>
      <c r="M1269"/>
    </row>
    <row r="1270" spans="2:13" x14ac:dyDescent="0.3">
      <c r="B1270"/>
      <c r="M1270"/>
    </row>
    <row r="1271" spans="2:13" x14ac:dyDescent="0.3">
      <c r="B1271"/>
      <c r="M1271"/>
    </row>
    <row r="1272" spans="2:13" x14ac:dyDescent="0.3">
      <c r="B1272"/>
      <c r="M1272"/>
    </row>
    <row r="1273" spans="2:13" x14ac:dyDescent="0.3">
      <c r="B1273"/>
      <c r="M1273"/>
    </row>
    <row r="1274" spans="2:13" x14ac:dyDescent="0.3">
      <c r="B1274"/>
      <c r="M1274"/>
    </row>
    <row r="1275" spans="2:13" x14ac:dyDescent="0.3">
      <c r="B1275"/>
      <c r="M1275"/>
    </row>
    <row r="1276" spans="2:13" x14ac:dyDescent="0.3">
      <c r="B1276"/>
      <c r="M1276"/>
    </row>
    <row r="1277" spans="2:13" x14ac:dyDescent="0.3">
      <c r="B1277"/>
      <c r="M1277"/>
    </row>
    <row r="1278" spans="2:13" x14ac:dyDescent="0.3">
      <c r="B1278"/>
      <c r="M1278"/>
    </row>
    <row r="1279" spans="2:13" x14ac:dyDescent="0.3">
      <c r="B1279"/>
      <c r="M1279"/>
    </row>
    <row r="1280" spans="2:13" x14ac:dyDescent="0.3">
      <c r="B1280"/>
      <c r="M1280"/>
    </row>
    <row r="1281" spans="2:13" x14ac:dyDescent="0.3">
      <c r="B1281"/>
      <c r="M1281"/>
    </row>
    <row r="1282" spans="2:13" x14ac:dyDescent="0.3">
      <c r="B1282"/>
      <c r="M1282"/>
    </row>
    <row r="1283" spans="2:13" x14ac:dyDescent="0.3">
      <c r="B1283"/>
      <c r="M1283"/>
    </row>
    <row r="1284" spans="2:13" x14ac:dyDescent="0.3">
      <c r="B1284"/>
      <c r="M1284"/>
    </row>
    <row r="1285" spans="2:13" x14ac:dyDescent="0.3">
      <c r="B1285"/>
      <c r="M1285"/>
    </row>
    <row r="1286" spans="2:13" x14ac:dyDescent="0.3">
      <c r="B1286"/>
      <c r="M1286"/>
    </row>
    <row r="1287" spans="2:13" x14ac:dyDescent="0.3">
      <c r="B1287"/>
      <c r="M1287"/>
    </row>
    <row r="1288" spans="2:13" x14ac:dyDescent="0.3">
      <c r="B1288"/>
      <c r="M1288"/>
    </row>
    <row r="1289" spans="2:13" x14ac:dyDescent="0.3">
      <c r="B1289"/>
      <c r="M1289"/>
    </row>
    <row r="1290" spans="2:13" x14ac:dyDescent="0.3">
      <c r="B1290"/>
      <c r="M1290"/>
    </row>
    <row r="1291" spans="2:13" x14ac:dyDescent="0.3">
      <c r="B1291"/>
      <c r="M1291"/>
    </row>
    <row r="1292" spans="2:13" x14ac:dyDescent="0.3">
      <c r="B1292"/>
      <c r="M1292"/>
    </row>
    <row r="1293" spans="2:13" x14ac:dyDescent="0.3">
      <c r="B1293"/>
      <c r="M1293"/>
    </row>
    <row r="1294" spans="2:13" x14ac:dyDescent="0.3">
      <c r="B1294"/>
      <c r="M1294"/>
    </row>
    <row r="1295" spans="2:13" x14ac:dyDescent="0.3">
      <c r="B1295"/>
      <c r="M1295"/>
    </row>
    <row r="1296" spans="2:13" x14ac:dyDescent="0.3">
      <c r="B1296"/>
      <c r="M1296"/>
    </row>
    <row r="1297" spans="2:13" x14ac:dyDescent="0.3">
      <c r="B1297"/>
      <c r="M1297"/>
    </row>
    <row r="1298" spans="2:13" x14ac:dyDescent="0.3">
      <c r="B1298"/>
      <c r="M1298"/>
    </row>
    <row r="1299" spans="2:13" x14ac:dyDescent="0.3">
      <c r="B1299"/>
      <c r="M1299"/>
    </row>
    <row r="1300" spans="2:13" x14ac:dyDescent="0.3">
      <c r="B1300"/>
      <c r="M1300"/>
    </row>
    <row r="1301" spans="2:13" x14ac:dyDescent="0.3">
      <c r="B1301"/>
      <c r="M1301"/>
    </row>
    <row r="1302" spans="2:13" x14ac:dyDescent="0.3">
      <c r="B1302"/>
      <c r="M1302"/>
    </row>
    <row r="1303" spans="2:13" x14ac:dyDescent="0.3">
      <c r="B1303"/>
      <c r="M1303"/>
    </row>
    <row r="1304" spans="2:13" x14ac:dyDescent="0.3">
      <c r="B1304"/>
      <c r="M1304"/>
    </row>
    <row r="1305" spans="2:13" x14ac:dyDescent="0.3">
      <c r="B1305"/>
      <c r="M1305"/>
    </row>
    <row r="1306" spans="2:13" x14ac:dyDescent="0.3">
      <c r="B1306"/>
      <c r="M1306"/>
    </row>
    <row r="1307" spans="2:13" x14ac:dyDescent="0.3">
      <c r="B1307"/>
      <c r="M1307"/>
    </row>
    <row r="1308" spans="2:13" x14ac:dyDescent="0.3">
      <c r="B1308"/>
      <c r="M1308"/>
    </row>
    <row r="1309" spans="2:13" x14ac:dyDescent="0.3">
      <c r="B1309"/>
      <c r="M1309"/>
    </row>
    <row r="1310" spans="2:13" x14ac:dyDescent="0.3">
      <c r="B1310"/>
      <c r="M1310"/>
    </row>
    <row r="1311" spans="2:13" x14ac:dyDescent="0.3">
      <c r="B1311"/>
      <c r="M1311"/>
    </row>
    <row r="1312" spans="2:13" x14ac:dyDescent="0.3">
      <c r="B1312"/>
      <c r="M1312"/>
    </row>
    <row r="1313" spans="2:13" x14ac:dyDescent="0.3">
      <c r="B1313"/>
      <c r="M1313"/>
    </row>
    <row r="1314" spans="2:13" x14ac:dyDescent="0.3">
      <c r="B1314"/>
      <c r="M1314"/>
    </row>
    <row r="1315" spans="2:13" x14ac:dyDescent="0.3">
      <c r="B1315"/>
      <c r="M1315"/>
    </row>
    <row r="1316" spans="2:13" x14ac:dyDescent="0.3">
      <c r="B1316"/>
      <c r="M1316"/>
    </row>
    <row r="1317" spans="2:13" x14ac:dyDescent="0.3">
      <c r="B1317"/>
      <c r="M1317"/>
    </row>
    <row r="1318" spans="2:13" x14ac:dyDescent="0.3">
      <c r="B1318"/>
      <c r="M1318"/>
    </row>
    <row r="1319" spans="2:13" x14ac:dyDescent="0.3">
      <c r="B1319"/>
      <c r="M1319"/>
    </row>
    <row r="1320" spans="2:13" x14ac:dyDescent="0.3">
      <c r="B1320"/>
      <c r="M1320"/>
    </row>
    <row r="1321" spans="2:13" x14ac:dyDescent="0.3">
      <c r="B1321"/>
      <c r="M1321"/>
    </row>
    <row r="1322" spans="2:13" x14ac:dyDescent="0.3">
      <c r="B1322"/>
      <c r="M1322"/>
    </row>
    <row r="1323" spans="2:13" x14ac:dyDescent="0.3">
      <c r="B1323"/>
      <c r="M1323"/>
    </row>
    <row r="1324" spans="2:13" x14ac:dyDescent="0.3">
      <c r="B1324"/>
      <c r="M1324"/>
    </row>
    <row r="1325" spans="2:13" x14ac:dyDescent="0.3">
      <c r="B1325"/>
      <c r="M1325"/>
    </row>
    <row r="1326" spans="2:13" x14ac:dyDescent="0.3">
      <c r="B1326"/>
      <c r="M1326"/>
    </row>
    <row r="1327" spans="2:13" x14ac:dyDescent="0.3">
      <c r="B1327"/>
      <c r="M1327"/>
    </row>
    <row r="1328" spans="2:13" x14ac:dyDescent="0.3">
      <c r="B1328"/>
      <c r="M1328"/>
    </row>
    <row r="1329" spans="2:13" x14ac:dyDescent="0.3">
      <c r="B1329"/>
      <c r="M1329"/>
    </row>
    <row r="1330" spans="2:13" x14ac:dyDescent="0.3">
      <c r="B1330"/>
      <c r="M1330"/>
    </row>
    <row r="1331" spans="2:13" x14ac:dyDescent="0.3">
      <c r="B1331"/>
      <c r="M1331"/>
    </row>
    <row r="1332" spans="2:13" x14ac:dyDescent="0.3">
      <c r="B1332"/>
      <c r="M1332"/>
    </row>
    <row r="1333" spans="2:13" x14ac:dyDescent="0.3">
      <c r="B1333"/>
      <c r="M1333"/>
    </row>
    <row r="1334" spans="2:13" x14ac:dyDescent="0.3">
      <c r="B1334"/>
      <c r="M1334"/>
    </row>
    <row r="1335" spans="2:13" x14ac:dyDescent="0.3">
      <c r="B1335"/>
      <c r="M1335"/>
    </row>
    <row r="1336" spans="2:13" x14ac:dyDescent="0.3">
      <c r="B1336"/>
      <c r="M1336"/>
    </row>
    <row r="1337" spans="2:13" x14ac:dyDescent="0.3">
      <c r="B1337"/>
      <c r="M1337"/>
    </row>
    <row r="1338" spans="2:13" x14ac:dyDescent="0.3">
      <c r="B1338"/>
      <c r="M1338"/>
    </row>
    <row r="1339" spans="2:13" x14ac:dyDescent="0.3">
      <c r="B1339"/>
      <c r="M1339"/>
    </row>
    <row r="1340" spans="2:13" x14ac:dyDescent="0.3">
      <c r="B1340"/>
      <c r="M1340"/>
    </row>
    <row r="1341" spans="2:13" x14ac:dyDescent="0.3">
      <c r="B1341"/>
      <c r="M1341"/>
    </row>
    <row r="1342" spans="2:13" x14ac:dyDescent="0.3">
      <c r="B1342"/>
      <c r="M1342"/>
    </row>
    <row r="1343" spans="2:13" x14ac:dyDescent="0.3">
      <c r="B1343"/>
      <c r="M1343"/>
    </row>
    <row r="1344" spans="2:13" x14ac:dyDescent="0.3">
      <c r="B1344"/>
      <c r="M1344"/>
    </row>
    <row r="1345" spans="2:13" x14ac:dyDescent="0.3">
      <c r="B1345"/>
      <c r="M1345"/>
    </row>
    <row r="1346" spans="2:13" x14ac:dyDescent="0.3">
      <c r="B1346"/>
      <c r="M1346"/>
    </row>
    <row r="1347" spans="2:13" x14ac:dyDescent="0.3">
      <c r="B1347"/>
      <c r="M1347"/>
    </row>
    <row r="1348" spans="2:13" x14ac:dyDescent="0.3">
      <c r="B1348"/>
      <c r="M1348"/>
    </row>
    <row r="1349" spans="2:13" x14ac:dyDescent="0.3">
      <c r="B1349"/>
      <c r="M1349"/>
    </row>
    <row r="1350" spans="2:13" x14ac:dyDescent="0.3">
      <c r="B1350"/>
      <c r="M1350"/>
    </row>
    <row r="1351" spans="2:13" x14ac:dyDescent="0.3">
      <c r="B1351"/>
      <c r="M1351"/>
    </row>
    <row r="1352" spans="2:13" x14ac:dyDescent="0.3">
      <c r="B1352"/>
      <c r="M1352"/>
    </row>
    <row r="1353" spans="2:13" x14ac:dyDescent="0.3">
      <c r="B1353"/>
      <c r="M1353"/>
    </row>
    <row r="1354" spans="2:13" x14ac:dyDescent="0.3">
      <c r="B1354"/>
      <c r="M1354"/>
    </row>
    <row r="1355" spans="2:13" x14ac:dyDescent="0.3">
      <c r="B1355"/>
      <c r="M1355"/>
    </row>
    <row r="1356" spans="2:13" x14ac:dyDescent="0.3">
      <c r="B1356"/>
      <c r="M1356"/>
    </row>
    <row r="1357" spans="2:13" x14ac:dyDescent="0.3">
      <c r="B1357"/>
      <c r="M1357"/>
    </row>
    <row r="1358" spans="2:13" x14ac:dyDescent="0.3">
      <c r="B1358"/>
      <c r="M1358"/>
    </row>
    <row r="1359" spans="2:13" x14ac:dyDescent="0.3">
      <c r="B1359"/>
      <c r="M1359"/>
    </row>
    <row r="1360" spans="2:13" x14ac:dyDescent="0.3">
      <c r="B1360"/>
      <c r="M1360"/>
    </row>
    <row r="1361" spans="2:13" x14ac:dyDescent="0.3">
      <c r="B1361"/>
      <c r="M1361"/>
    </row>
    <row r="1362" spans="2:13" x14ac:dyDescent="0.3">
      <c r="B1362"/>
      <c r="M1362"/>
    </row>
    <row r="1363" spans="2:13" x14ac:dyDescent="0.3">
      <c r="B1363"/>
      <c r="M1363"/>
    </row>
    <row r="1364" spans="2:13" x14ac:dyDescent="0.3">
      <c r="B1364"/>
      <c r="M1364"/>
    </row>
    <row r="1365" spans="2:13" x14ac:dyDescent="0.3">
      <c r="B1365"/>
      <c r="M1365"/>
    </row>
    <row r="1366" spans="2:13" x14ac:dyDescent="0.3">
      <c r="B1366"/>
      <c r="M1366"/>
    </row>
    <row r="1367" spans="2:13" x14ac:dyDescent="0.3">
      <c r="B1367"/>
      <c r="M1367"/>
    </row>
    <row r="1368" spans="2:13" x14ac:dyDescent="0.3">
      <c r="B1368"/>
      <c r="M1368"/>
    </row>
    <row r="1369" spans="2:13" x14ac:dyDescent="0.3">
      <c r="B1369"/>
      <c r="M1369"/>
    </row>
    <row r="1370" spans="2:13" x14ac:dyDescent="0.3">
      <c r="B1370"/>
      <c r="M1370"/>
    </row>
    <row r="1371" spans="2:13" x14ac:dyDescent="0.3">
      <c r="B1371"/>
      <c r="M1371"/>
    </row>
    <row r="1372" spans="2:13" x14ac:dyDescent="0.3">
      <c r="B1372"/>
      <c r="M1372"/>
    </row>
    <row r="1373" spans="2:13" x14ac:dyDescent="0.3">
      <c r="B1373"/>
      <c r="M1373"/>
    </row>
    <row r="1374" spans="2:13" x14ac:dyDescent="0.3">
      <c r="B1374"/>
      <c r="M1374"/>
    </row>
    <row r="1375" spans="2:13" x14ac:dyDescent="0.3">
      <c r="B1375"/>
      <c r="M1375"/>
    </row>
    <row r="1376" spans="2:13" x14ac:dyDescent="0.3">
      <c r="B1376"/>
      <c r="M1376"/>
    </row>
    <row r="1377" spans="2:13" x14ac:dyDescent="0.3">
      <c r="B1377"/>
      <c r="M1377"/>
    </row>
    <row r="1378" spans="2:13" x14ac:dyDescent="0.3">
      <c r="B1378"/>
      <c r="M1378"/>
    </row>
    <row r="1379" spans="2:13" x14ac:dyDescent="0.3">
      <c r="B1379"/>
      <c r="M1379"/>
    </row>
    <row r="1380" spans="2:13" x14ac:dyDescent="0.3">
      <c r="B1380"/>
      <c r="M1380"/>
    </row>
    <row r="1381" spans="2:13" x14ac:dyDescent="0.3">
      <c r="B1381"/>
      <c r="M1381"/>
    </row>
    <row r="1382" spans="2:13" x14ac:dyDescent="0.3">
      <c r="B1382"/>
      <c r="M1382"/>
    </row>
    <row r="1383" spans="2:13" x14ac:dyDescent="0.3">
      <c r="B1383"/>
      <c r="M1383"/>
    </row>
    <row r="1384" spans="2:13" x14ac:dyDescent="0.3">
      <c r="B1384"/>
      <c r="M1384"/>
    </row>
    <row r="1385" spans="2:13" x14ac:dyDescent="0.3">
      <c r="B1385"/>
      <c r="M1385"/>
    </row>
    <row r="1386" spans="2:13" x14ac:dyDescent="0.3">
      <c r="B1386"/>
      <c r="M1386"/>
    </row>
    <row r="1387" spans="2:13" x14ac:dyDescent="0.3">
      <c r="B1387"/>
      <c r="M1387"/>
    </row>
    <row r="1388" spans="2:13" x14ac:dyDescent="0.3">
      <c r="B1388"/>
      <c r="M1388"/>
    </row>
    <row r="1389" spans="2:13" x14ac:dyDescent="0.3">
      <c r="B1389"/>
      <c r="M1389"/>
    </row>
    <row r="1390" spans="2:13" x14ac:dyDescent="0.3">
      <c r="B1390"/>
      <c r="M1390"/>
    </row>
    <row r="1391" spans="2:13" x14ac:dyDescent="0.3">
      <c r="B1391"/>
      <c r="M1391"/>
    </row>
    <row r="1392" spans="2:13" x14ac:dyDescent="0.3">
      <c r="B1392"/>
      <c r="M1392"/>
    </row>
    <row r="1393" spans="2:13" x14ac:dyDescent="0.3">
      <c r="B1393"/>
      <c r="M1393"/>
    </row>
    <row r="1394" spans="2:13" x14ac:dyDescent="0.3">
      <c r="B1394"/>
      <c r="M1394"/>
    </row>
    <row r="1395" spans="2:13" x14ac:dyDescent="0.3">
      <c r="B1395"/>
      <c r="M1395"/>
    </row>
    <row r="1396" spans="2:13" x14ac:dyDescent="0.3">
      <c r="B1396"/>
      <c r="M1396"/>
    </row>
    <row r="1397" spans="2:13" x14ac:dyDescent="0.3">
      <c r="B1397"/>
      <c r="M1397"/>
    </row>
    <row r="1398" spans="2:13" x14ac:dyDescent="0.3">
      <c r="B1398"/>
      <c r="M1398"/>
    </row>
    <row r="1399" spans="2:13" x14ac:dyDescent="0.3">
      <c r="B1399"/>
      <c r="M1399"/>
    </row>
    <row r="1400" spans="2:13" x14ac:dyDescent="0.3">
      <c r="B1400"/>
      <c r="M1400"/>
    </row>
    <row r="1401" spans="2:13" x14ac:dyDescent="0.3">
      <c r="B1401"/>
      <c r="M1401"/>
    </row>
    <row r="1402" spans="2:13" x14ac:dyDescent="0.3">
      <c r="B1402"/>
      <c r="M1402"/>
    </row>
    <row r="1403" spans="2:13" x14ac:dyDescent="0.3">
      <c r="B1403"/>
      <c r="M1403"/>
    </row>
    <row r="1404" spans="2:13" x14ac:dyDescent="0.3">
      <c r="B1404"/>
      <c r="M1404"/>
    </row>
    <row r="1405" spans="2:13" x14ac:dyDescent="0.3">
      <c r="B1405"/>
      <c r="M1405"/>
    </row>
    <row r="1406" spans="2:13" x14ac:dyDescent="0.3">
      <c r="B1406"/>
      <c r="M1406"/>
    </row>
    <row r="1407" spans="2:13" x14ac:dyDescent="0.3">
      <c r="B1407"/>
      <c r="M1407"/>
    </row>
    <row r="1408" spans="2:13" x14ac:dyDescent="0.3">
      <c r="B1408"/>
      <c r="M1408"/>
    </row>
    <row r="1409" spans="2:13" x14ac:dyDescent="0.3">
      <c r="B1409"/>
      <c r="M1409"/>
    </row>
    <row r="1410" spans="2:13" x14ac:dyDescent="0.3">
      <c r="B1410"/>
      <c r="M1410"/>
    </row>
    <row r="1411" spans="2:13" x14ac:dyDescent="0.3">
      <c r="B1411"/>
      <c r="M1411"/>
    </row>
    <row r="1412" spans="2:13" x14ac:dyDescent="0.3">
      <c r="B1412"/>
      <c r="M1412"/>
    </row>
    <row r="1413" spans="2:13" x14ac:dyDescent="0.3">
      <c r="B1413"/>
      <c r="M1413"/>
    </row>
    <row r="1414" spans="2:13" x14ac:dyDescent="0.3">
      <c r="B1414"/>
      <c r="M1414"/>
    </row>
    <row r="1415" spans="2:13" x14ac:dyDescent="0.3">
      <c r="B1415"/>
      <c r="M1415"/>
    </row>
    <row r="1416" spans="2:13" x14ac:dyDescent="0.3">
      <c r="B1416"/>
      <c r="M1416"/>
    </row>
    <row r="1417" spans="2:13" x14ac:dyDescent="0.3">
      <c r="B1417"/>
      <c r="M1417"/>
    </row>
    <row r="1418" spans="2:13" x14ac:dyDescent="0.3">
      <c r="B1418"/>
      <c r="M1418"/>
    </row>
    <row r="1419" spans="2:13" x14ac:dyDescent="0.3">
      <c r="B1419"/>
      <c r="M1419"/>
    </row>
    <row r="1420" spans="2:13" x14ac:dyDescent="0.3">
      <c r="B1420"/>
      <c r="M1420"/>
    </row>
    <row r="1421" spans="2:13" x14ac:dyDescent="0.3">
      <c r="B1421"/>
      <c r="M1421"/>
    </row>
    <row r="1422" spans="2:13" x14ac:dyDescent="0.3">
      <c r="B1422"/>
      <c r="M1422"/>
    </row>
    <row r="1423" spans="2:13" x14ac:dyDescent="0.3">
      <c r="B1423"/>
      <c r="M1423"/>
    </row>
    <row r="1424" spans="2:13" x14ac:dyDescent="0.3">
      <c r="B1424"/>
      <c r="M1424"/>
    </row>
    <row r="1425" spans="2:13" x14ac:dyDescent="0.3">
      <c r="B1425"/>
      <c r="M1425"/>
    </row>
    <row r="1426" spans="2:13" x14ac:dyDescent="0.3">
      <c r="B1426"/>
      <c r="M1426"/>
    </row>
    <row r="1427" spans="2:13" x14ac:dyDescent="0.3">
      <c r="B1427"/>
      <c r="M1427"/>
    </row>
    <row r="1428" spans="2:13" x14ac:dyDescent="0.3">
      <c r="B1428"/>
      <c r="M1428"/>
    </row>
    <row r="1429" spans="2:13" x14ac:dyDescent="0.3">
      <c r="B1429"/>
      <c r="M1429"/>
    </row>
    <row r="1430" spans="2:13" x14ac:dyDescent="0.3">
      <c r="B1430"/>
      <c r="M1430"/>
    </row>
    <row r="1431" spans="2:13" x14ac:dyDescent="0.3">
      <c r="B1431"/>
      <c r="M1431"/>
    </row>
    <row r="1432" spans="2:13" x14ac:dyDescent="0.3">
      <c r="B1432"/>
      <c r="M1432"/>
    </row>
    <row r="1433" spans="2:13" x14ac:dyDescent="0.3">
      <c r="B1433"/>
      <c r="M1433"/>
    </row>
    <row r="1434" spans="2:13" x14ac:dyDescent="0.3">
      <c r="B1434"/>
      <c r="M1434"/>
    </row>
    <row r="1435" spans="2:13" x14ac:dyDescent="0.3">
      <c r="B1435"/>
      <c r="M1435"/>
    </row>
    <row r="1436" spans="2:13" x14ac:dyDescent="0.3">
      <c r="B1436"/>
      <c r="M1436"/>
    </row>
    <row r="1437" spans="2:13" x14ac:dyDescent="0.3">
      <c r="B1437"/>
      <c r="M1437"/>
    </row>
    <row r="1438" spans="2:13" x14ac:dyDescent="0.3">
      <c r="B1438"/>
      <c r="M1438"/>
    </row>
    <row r="1439" spans="2:13" x14ac:dyDescent="0.3">
      <c r="B1439"/>
      <c r="M1439"/>
    </row>
    <row r="1440" spans="2:13" x14ac:dyDescent="0.3">
      <c r="B1440"/>
      <c r="M1440"/>
    </row>
    <row r="1441" spans="2:13" x14ac:dyDescent="0.3">
      <c r="B1441"/>
      <c r="M1441"/>
    </row>
    <row r="1442" spans="2:13" x14ac:dyDescent="0.3">
      <c r="B1442"/>
      <c r="M1442"/>
    </row>
    <row r="1443" spans="2:13" x14ac:dyDescent="0.3">
      <c r="B1443"/>
      <c r="M1443"/>
    </row>
    <row r="1444" spans="2:13" x14ac:dyDescent="0.3">
      <c r="B1444"/>
      <c r="M1444"/>
    </row>
    <row r="1445" spans="2:13" x14ac:dyDescent="0.3">
      <c r="B1445"/>
      <c r="M1445"/>
    </row>
    <row r="1446" spans="2:13" x14ac:dyDescent="0.3">
      <c r="B1446"/>
      <c r="M1446"/>
    </row>
    <row r="1447" spans="2:13" x14ac:dyDescent="0.3">
      <c r="B1447"/>
      <c r="M1447"/>
    </row>
    <row r="1448" spans="2:13" x14ac:dyDescent="0.3">
      <c r="B1448"/>
      <c r="M1448"/>
    </row>
    <row r="1449" spans="2:13" x14ac:dyDescent="0.3">
      <c r="B1449"/>
      <c r="M1449"/>
    </row>
    <row r="1450" spans="2:13" x14ac:dyDescent="0.3">
      <c r="B1450"/>
      <c r="M1450"/>
    </row>
    <row r="1451" spans="2:13" x14ac:dyDescent="0.3">
      <c r="B1451"/>
      <c r="M1451"/>
    </row>
    <row r="1452" spans="2:13" x14ac:dyDescent="0.3">
      <c r="B1452"/>
      <c r="M1452"/>
    </row>
    <row r="1453" spans="2:13" x14ac:dyDescent="0.3">
      <c r="B1453"/>
      <c r="M1453"/>
    </row>
    <row r="1454" spans="2:13" x14ac:dyDescent="0.3">
      <c r="B1454"/>
      <c r="M1454"/>
    </row>
    <row r="1455" spans="2:13" x14ac:dyDescent="0.3">
      <c r="B1455"/>
      <c r="M1455"/>
    </row>
    <row r="1456" spans="2:13" x14ac:dyDescent="0.3">
      <c r="B1456"/>
      <c r="M1456"/>
    </row>
    <row r="1457" spans="2:13" x14ac:dyDescent="0.3">
      <c r="B1457"/>
      <c r="M1457"/>
    </row>
    <row r="1458" spans="2:13" x14ac:dyDescent="0.3">
      <c r="B1458"/>
      <c r="M1458"/>
    </row>
    <row r="1459" spans="2:13" x14ac:dyDescent="0.3">
      <c r="B1459"/>
      <c r="M1459"/>
    </row>
    <row r="1460" spans="2:13" x14ac:dyDescent="0.3">
      <c r="B1460"/>
      <c r="M1460"/>
    </row>
    <row r="1461" spans="2:13" x14ac:dyDescent="0.3">
      <c r="B1461"/>
      <c r="M1461"/>
    </row>
    <row r="1462" spans="2:13" x14ac:dyDescent="0.3">
      <c r="B1462"/>
      <c r="M1462"/>
    </row>
    <row r="1463" spans="2:13" x14ac:dyDescent="0.3">
      <c r="B1463"/>
      <c r="M1463"/>
    </row>
    <row r="1464" spans="2:13" x14ac:dyDescent="0.3">
      <c r="B1464"/>
      <c r="M1464"/>
    </row>
    <row r="1465" spans="2:13" x14ac:dyDescent="0.3">
      <c r="B1465"/>
      <c r="M1465"/>
    </row>
    <row r="1466" spans="2:13" x14ac:dyDescent="0.3">
      <c r="B1466"/>
      <c r="M1466"/>
    </row>
    <row r="1467" spans="2:13" x14ac:dyDescent="0.3">
      <c r="B1467"/>
      <c r="M1467"/>
    </row>
    <row r="1468" spans="2:13" x14ac:dyDescent="0.3">
      <c r="B1468"/>
      <c r="M1468"/>
    </row>
    <row r="1469" spans="2:13" x14ac:dyDescent="0.3">
      <c r="B1469"/>
      <c r="M1469"/>
    </row>
    <row r="1470" spans="2:13" x14ac:dyDescent="0.3">
      <c r="B1470"/>
      <c r="M1470"/>
    </row>
    <row r="1471" spans="2:13" x14ac:dyDescent="0.3">
      <c r="B1471"/>
      <c r="M1471"/>
    </row>
    <row r="1472" spans="2:13" x14ac:dyDescent="0.3">
      <c r="B1472"/>
      <c r="M1472"/>
    </row>
    <row r="1473" spans="2:13" x14ac:dyDescent="0.3">
      <c r="B1473"/>
      <c r="M1473"/>
    </row>
    <row r="1474" spans="2:13" x14ac:dyDescent="0.3">
      <c r="B1474"/>
      <c r="M1474"/>
    </row>
    <row r="1475" spans="2:13" x14ac:dyDescent="0.3">
      <c r="B1475"/>
      <c r="M1475"/>
    </row>
    <row r="1476" spans="2:13" x14ac:dyDescent="0.3">
      <c r="B1476"/>
      <c r="M1476"/>
    </row>
    <row r="1477" spans="2:13" x14ac:dyDescent="0.3">
      <c r="B1477"/>
      <c r="M1477"/>
    </row>
    <row r="1478" spans="2:13" x14ac:dyDescent="0.3">
      <c r="B1478"/>
      <c r="M1478"/>
    </row>
    <row r="1479" spans="2:13" x14ac:dyDescent="0.3">
      <c r="B1479"/>
      <c r="M1479"/>
    </row>
    <row r="1480" spans="2:13" x14ac:dyDescent="0.3">
      <c r="B1480"/>
      <c r="M1480"/>
    </row>
    <row r="1481" spans="2:13" x14ac:dyDescent="0.3">
      <c r="B1481"/>
      <c r="M1481"/>
    </row>
    <row r="1482" spans="2:13" x14ac:dyDescent="0.3">
      <c r="B1482"/>
      <c r="M1482"/>
    </row>
    <row r="1483" spans="2:13" x14ac:dyDescent="0.3">
      <c r="B1483"/>
      <c r="M1483"/>
    </row>
    <row r="1484" spans="2:13" x14ac:dyDescent="0.3">
      <c r="B1484"/>
      <c r="M1484"/>
    </row>
    <row r="1485" spans="2:13" x14ac:dyDescent="0.3">
      <c r="B1485"/>
      <c r="M1485"/>
    </row>
    <row r="1486" spans="2:13" x14ac:dyDescent="0.3">
      <c r="B1486"/>
      <c r="M1486"/>
    </row>
    <row r="1487" spans="2:13" x14ac:dyDescent="0.3">
      <c r="B1487"/>
      <c r="M1487"/>
    </row>
    <row r="1488" spans="2:13" x14ac:dyDescent="0.3">
      <c r="B1488"/>
      <c r="M1488"/>
    </row>
    <row r="1489" spans="2:13" x14ac:dyDescent="0.3">
      <c r="B1489"/>
      <c r="M1489"/>
    </row>
    <row r="1490" spans="2:13" x14ac:dyDescent="0.3">
      <c r="B1490"/>
      <c r="M1490"/>
    </row>
    <row r="1491" spans="2:13" x14ac:dyDescent="0.3">
      <c r="B1491"/>
      <c r="M1491"/>
    </row>
    <row r="1492" spans="2:13" x14ac:dyDescent="0.3">
      <c r="B1492"/>
      <c r="M1492"/>
    </row>
    <row r="1493" spans="2:13" x14ac:dyDescent="0.3">
      <c r="B1493"/>
      <c r="M1493"/>
    </row>
    <row r="1494" spans="2:13" x14ac:dyDescent="0.3">
      <c r="B1494"/>
      <c r="M1494"/>
    </row>
    <row r="1495" spans="2:13" x14ac:dyDescent="0.3">
      <c r="B1495"/>
      <c r="M1495"/>
    </row>
    <row r="1496" spans="2:13" x14ac:dyDescent="0.3">
      <c r="B1496"/>
      <c r="M1496"/>
    </row>
    <row r="1497" spans="2:13" x14ac:dyDescent="0.3">
      <c r="B1497"/>
      <c r="M1497"/>
    </row>
    <row r="1498" spans="2:13" x14ac:dyDescent="0.3">
      <c r="B1498"/>
      <c r="M1498"/>
    </row>
    <row r="1499" spans="2:13" x14ac:dyDescent="0.3">
      <c r="B1499"/>
      <c r="M1499"/>
    </row>
    <row r="1500" spans="2:13" x14ac:dyDescent="0.3">
      <c r="B1500"/>
      <c r="M1500"/>
    </row>
    <row r="1501" spans="2:13" x14ac:dyDescent="0.3">
      <c r="B1501"/>
      <c r="M1501"/>
    </row>
    <row r="1502" spans="2:13" x14ac:dyDescent="0.3">
      <c r="B1502"/>
      <c r="M1502"/>
    </row>
    <row r="1503" spans="2:13" x14ac:dyDescent="0.3">
      <c r="B1503"/>
      <c r="M1503"/>
    </row>
    <row r="1504" spans="2:13" x14ac:dyDescent="0.3">
      <c r="B1504"/>
      <c r="M1504"/>
    </row>
    <row r="1505" spans="2:13" x14ac:dyDescent="0.3">
      <c r="B1505"/>
      <c r="M1505"/>
    </row>
    <row r="1506" spans="2:13" x14ac:dyDescent="0.3">
      <c r="B1506"/>
      <c r="M1506"/>
    </row>
    <row r="1507" spans="2:13" x14ac:dyDescent="0.3">
      <c r="B1507"/>
      <c r="M1507"/>
    </row>
    <row r="1508" spans="2:13" x14ac:dyDescent="0.3">
      <c r="B1508"/>
      <c r="M1508"/>
    </row>
    <row r="1509" spans="2:13" x14ac:dyDescent="0.3">
      <c r="B1509"/>
      <c r="M1509"/>
    </row>
    <row r="1510" spans="2:13" x14ac:dyDescent="0.3">
      <c r="B1510"/>
      <c r="M1510"/>
    </row>
    <row r="1511" spans="2:13" x14ac:dyDescent="0.3">
      <c r="B1511"/>
      <c r="M1511"/>
    </row>
    <row r="1512" spans="2:13" x14ac:dyDescent="0.3">
      <c r="B1512"/>
      <c r="M1512"/>
    </row>
    <row r="1513" spans="2:13" x14ac:dyDescent="0.3">
      <c r="B1513"/>
      <c r="M1513"/>
    </row>
    <row r="1514" spans="2:13" x14ac:dyDescent="0.3">
      <c r="B1514"/>
      <c r="M1514"/>
    </row>
    <row r="1515" spans="2:13" x14ac:dyDescent="0.3">
      <c r="B1515"/>
      <c r="M1515"/>
    </row>
    <row r="1516" spans="2:13" x14ac:dyDescent="0.3">
      <c r="B1516"/>
      <c r="M1516"/>
    </row>
    <row r="1517" spans="2:13" x14ac:dyDescent="0.3">
      <c r="B1517"/>
      <c r="M1517"/>
    </row>
    <row r="1518" spans="2:13" x14ac:dyDescent="0.3">
      <c r="B1518"/>
      <c r="M1518"/>
    </row>
    <row r="1519" spans="2:13" x14ac:dyDescent="0.3">
      <c r="B1519"/>
      <c r="M1519"/>
    </row>
    <row r="1520" spans="2:13" x14ac:dyDescent="0.3">
      <c r="B1520"/>
      <c r="M1520"/>
    </row>
    <row r="1521" spans="2:13" x14ac:dyDescent="0.3">
      <c r="B1521"/>
      <c r="M1521"/>
    </row>
    <row r="1522" spans="2:13" x14ac:dyDescent="0.3">
      <c r="B1522"/>
      <c r="M1522"/>
    </row>
    <row r="1523" spans="2:13" x14ac:dyDescent="0.3">
      <c r="B1523"/>
      <c r="M1523"/>
    </row>
    <row r="1524" spans="2:13" x14ac:dyDescent="0.3">
      <c r="B1524"/>
      <c r="M1524"/>
    </row>
    <row r="1525" spans="2:13" x14ac:dyDescent="0.3">
      <c r="B1525"/>
      <c r="M1525"/>
    </row>
    <row r="1526" spans="2:13" x14ac:dyDescent="0.3">
      <c r="B1526"/>
      <c r="M1526"/>
    </row>
    <row r="1527" spans="2:13" x14ac:dyDescent="0.3">
      <c r="B1527"/>
      <c r="M1527"/>
    </row>
    <row r="1528" spans="2:13" x14ac:dyDescent="0.3">
      <c r="B1528"/>
      <c r="M1528"/>
    </row>
    <row r="1529" spans="2:13" x14ac:dyDescent="0.3">
      <c r="B1529"/>
      <c r="M1529"/>
    </row>
    <row r="1530" spans="2:13" x14ac:dyDescent="0.3">
      <c r="B1530"/>
      <c r="M1530"/>
    </row>
    <row r="1531" spans="2:13" x14ac:dyDescent="0.3">
      <c r="B1531"/>
      <c r="M1531"/>
    </row>
    <row r="1532" spans="2:13" x14ac:dyDescent="0.3">
      <c r="B1532"/>
      <c r="M1532"/>
    </row>
    <row r="1533" spans="2:13" x14ac:dyDescent="0.3">
      <c r="B1533"/>
      <c r="M1533"/>
    </row>
    <row r="1534" spans="2:13" x14ac:dyDescent="0.3">
      <c r="B1534"/>
      <c r="M1534"/>
    </row>
    <row r="1535" spans="2:13" x14ac:dyDescent="0.3">
      <c r="B1535"/>
      <c r="M1535"/>
    </row>
    <row r="1536" spans="2:13" x14ac:dyDescent="0.3">
      <c r="B1536"/>
      <c r="M1536"/>
    </row>
    <row r="1537" spans="2:13" x14ac:dyDescent="0.3">
      <c r="B1537"/>
      <c r="M1537"/>
    </row>
    <row r="1538" spans="2:13" x14ac:dyDescent="0.3">
      <c r="B1538"/>
      <c r="M1538"/>
    </row>
    <row r="1539" spans="2:13" x14ac:dyDescent="0.3">
      <c r="B1539"/>
      <c r="M1539"/>
    </row>
    <row r="1540" spans="2:13" x14ac:dyDescent="0.3">
      <c r="B1540"/>
      <c r="M1540"/>
    </row>
    <row r="1541" spans="2:13" x14ac:dyDescent="0.3">
      <c r="B1541"/>
      <c r="M1541"/>
    </row>
    <row r="1542" spans="2:13" x14ac:dyDescent="0.3">
      <c r="B1542"/>
      <c r="M1542"/>
    </row>
    <row r="1543" spans="2:13" x14ac:dyDescent="0.3">
      <c r="B1543"/>
      <c r="M1543"/>
    </row>
    <row r="1544" spans="2:13" x14ac:dyDescent="0.3">
      <c r="B1544"/>
      <c r="M1544"/>
    </row>
    <row r="1545" spans="2:13" x14ac:dyDescent="0.3">
      <c r="B1545"/>
      <c r="M1545"/>
    </row>
    <row r="1546" spans="2:13" x14ac:dyDescent="0.3">
      <c r="B1546"/>
      <c r="M1546"/>
    </row>
    <row r="1547" spans="2:13" x14ac:dyDescent="0.3">
      <c r="B1547"/>
      <c r="M1547"/>
    </row>
    <row r="1548" spans="2:13" x14ac:dyDescent="0.3">
      <c r="B1548"/>
      <c r="M1548"/>
    </row>
    <row r="1549" spans="2:13" x14ac:dyDescent="0.3">
      <c r="B1549"/>
      <c r="M1549"/>
    </row>
    <row r="1550" spans="2:13" x14ac:dyDescent="0.3">
      <c r="B1550"/>
      <c r="M1550"/>
    </row>
    <row r="1551" spans="2:13" x14ac:dyDescent="0.3">
      <c r="B1551"/>
      <c r="M1551"/>
    </row>
    <row r="1552" spans="2:13" x14ac:dyDescent="0.3">
      <c r="B1552"/>
      <c r="M1552"/>
    </row>
    <row r="1553" spans="2:13" x14ac:dyDescent="0.3">
      <c r="B1553"/>
      <c r="M1553"/>
    </row>
    <row r="1554" spans="2:13" x14ac:dyDescent="0.3">
      <c r="B1554"/>
      <c r="M1554"/>
    </row>
    <row r="1555" spans="2:13" x14ac:dyDescent="0.3">
      <c r="B1555"/>
      <c r="M1555"/>
    </row>
    <row r="1556" spans="2:13" x14ac:dyDescent="0.3">
      <c r="B1556"/>
      <c r="M1556"/>
    </row>
    <row r="1557" spans="2:13" x14ac:dyDescent="0.3">
      <c r="B1557"/>
      <c r="M1557"/>
    </row>
    <row r="1558" spans="2:13" x14ac:dyDescent="0.3">
      <c r="B1558"/>
      <c r="M1558"/>
    </row>
    <row r="1559" spans="2:13" x14ac:dyDescent="0.3">
      <c r="B1559"/>
      <c r="M1559"/>
    </row>
    <row r="1560" spans="2:13" x14ac:dyDescent="0.3">
      <c r="B1560"/>
      <c r="M1560"/>
    </row>
    <row r="1561" spans="2:13" x14ac:dyDescent="0.3">
      <c r="B1561"/>
      <c r="M1561"/>
    </row>
    <row r="1562" spans="2:13" x14ac:dyDescent="0.3">
      <c r="B1562"/>
      <c r="M1562"/>
    </row>
    <row r="1563" spans="2:13" x14ac:dyDescent="0.3">
      <c r="B1563"/>
      <c r="M1563"/>
    </row>
    <row r="1564" spans="2:13" x14ac:dyDescent="0.3">
      <c r="B1564"/>
      <c r="M1564"/>
    </row>
    <row r="1565" spans="2:13" x14ac:dyDescent="0.3">
      <c r="B1565"/>
      <c r="M1565"/>
    </row>
    <row r="1566" spans="2:13" x14ac:dyDescent="0.3">
      <c r="B1566"/>
      <c r="M1566"/>
    </row>
    <row r="1567" spans="2:13" x14ac:dyDescent="0.3">
      <c r="B1567"/>
      <c r="M1567"/>
    </row>
    <row r="1568" spans="2:13" x14ac:dyDescent="0.3">
      <c r="B1568"/>
      <c r="M1568"/>
    </row>
    <row r="1569" spans="2:13" x14ac:dyDescent="0.3">
      <c r="B1569"/>
      <c r="M1569"/>
    </row>
    <row r="1570" spans="2:13" x14ac:dyDescent="0.3">
      <c r="B1570"/>
      <c r="M1570"/>
    </row>
    <row r="1571" spans="2:13" x14ac:dyDescent="0.3">
      <c r="B1571"/>
      <c r="M1571"/>
    </row>
    <row r="1572" spans="2:13" x14ac:dyDescent="0.3">
      <c r="B1572"/>
      <c r="M1572"/>
    </row>
    <row r="1573" spans="2:13" x14ac:dyDescent="0.3">
      <c r="B1573"/>
      <c r="M1573"/>
    </row>
    <row r="1574" spans="2:13" x14ac:dyDescent="0.3">
      <c r="B1574"/>
      <c r="M1574"/>
    </row>
    <row r="1575" spans="2:13" x14ac:dyDescent="0.3">
      <c r="B1575"/>
      <c r="M1575"/>
    </row>
    <row r="1576" spans="2:13" x14ac:dyDescent="0.3">
      <c r="B1576"/>
      <c r="M1576"/>
    </row>
    <row r="1577" spans="2:13" x14ac:dyDescent="0.3">
      <c r="B1577"/>
      <c r="M1577"/>
    </row>
    <row r="1578" spans="2:13" x14ac:dyDescent="0.3">
      <c r="B1578"/>
      <c r="M1578"/>
    </row>
    <row r="1579" spans="2:13" x14ac:dyDescent="0.3">
      <c r="B1579"/>
      <c r="M1579"/>
    </row>
    <row r="1580" spans="2:13" x14ac:dyDescent="0.3">
      <c r="B1580"/>
      <c r="M1580"/>
    </row>
    <row r="1581" spans="2:13" x14ac:dyDescent="0.3">
      <c r="B1581"/>
      <c r="M1581"/>
    </row>
    <row r="1582" spans="2:13" x14ac:dyDescent="0.3">
      <c r="B1582"/>
      <c r="M1582"/>
    </row>
    <row r="1583" spans="2:13" x14ac:dyDescent="0.3">
      <c r="B1583"/>
      <c r="M1583"/>
    </row>
    <row r="1584" spans="2:13" x14ac:dyDescent="0.3">
      <c r="B1584"/>
      <c r="M1584"/>
    </row>
    <row r="1585" spans="2:13" x14ac:dyDescent="0.3">
      <c r="B1585"/>
      <c r="M1585"/>
    </row>
    <row r="1586" spans="2:13" x14ac:dyDescent="0.3">
      <c r="B1586"/>
      <c r="M1586"/>
    </row>
    <row r="1587" spans="2:13" x14ac:dyDescent="0.3">
      <c r="B1587"/>
      <c r="M1587"/>
    </row>
    <row r="1588" spans="2:13" x14ac:dyDescent="0.3">
      <c r="B1588"/>
      <c r="M1588"/>
    </row>
    <row r="1589" spans="2:13" x14ac:dyDescent="0.3">
      <c r="B1589"/>
      <c r="M1589"/>
    </row>
    <row r="1590" spans="2:13" x14ac:dyDescent="0.3">
      <c r="B1590"/>
      <c r="M1590"/>
    </row>
    <row r="1591" spans="2:13" x14ac:dyDescent="0.3">
      <c r="B1591"/>
      <c r="M1591"/>
    </row>
    <row r="1592" spans="2:13" x14ac:dyDescent="0.3">
      <c r="B1592"/>
      <c r="M1592"/>
    </row>
    <row r="1593" spans="2:13" x14ac:dyDescent="0.3">
      <c r="B1593"/>
      <c r="M1593"/>
    </row>
    <row r="1594" spans="2:13" x14ac:dyDescent="0.3">
      <c r="B1594"/>
      <c r="M1594"/>
    </row>
    <row r="1595" spans="2:13" x14ac:dyDescent="0.3">
      <c r="B1595"/>
      <c r="M1595"/>
    </row>
    <row r="1596" spans="2:13" x14ac:dyDescent="0.3">
      <c r="B1596"/>
      <c r="M1596"/>
    </row>
    <row r="1597" spans="2:13" x14ac:dyDescent="0.3">
      <c r="B1597"/>
      <c r="M1597"/>
    </row>
    <row r="1598" spans="2:13" x14ac:dyDescent="0.3">
      <c r="B1598"/>
      <c r="M1598"/>
    </row>
    <row r="1599" spans="2:13" x14ac:dyDescent="0.3">
      <c r="B1599"/>
      <c r="M1599"/>
    </row>
    <row r="1600" spans="2:13" x14ac:dyDescent="0.3">
      <c r="B1600"/>
      <c r="M1600"/>
    </row>
    <row r="1601" spans="2:13" x14ac:dyDescent="0.3">
      <c r="B1601"/>
      <c r="M1601"/>
    </row>
    <row r="1602" spans="2:13" x14ac:dyDescent="0.3">
      <c r="B1602"/>
      <c r="M1602"/>
    </row>
    <row r="1603" spans="2:13" x14ac:dyDescent="0.3">
      <c r="B1603"/>
      <c r="M1603"/>
    </row>
    <row r="1604" spans="2:13" x14ac:dyDescent="0.3">
      <c r="B1604"/>
      <c r="M1604"/>
    </row>
    <row r="1605" spans="2:13" x14ac:dyDescent="0.3">
      <c r="B1605"/>
      <c r="M1605"/>
    </row>
    <row r="1606" spans="2:13" x14ac:dyDescent="0.3">
      <c r="B1606"/>
      <c r="M1606"/>
    </row>
    <row r="1607" spans="2:13" x14ac:dyDescent="0.3">
      <c r="B1607"/>
      <c r="M1607"/>
    </row>
    <row r="1608" spans="2:13" x14ac:dyDescent="0.3">
      <c r="B1608"/>
      <c r="M1608"/>
    </row>
    <row r="1609" spans="2:13" x14ac:dyDescent="0.3">
      <c r="B1609"/>
      <c r="M1609"/>
    </row>
    <row r="1610" spans="2:13" x14ac:dyDescent="0.3">
      <c r="B1610"/>
      <c r="M1610"/>
    </row>
    <row r="1611" spans="2:13" x14ac:dyDescent="0.3">
      <c r="B1611"/>
      <c r="M1611"/>
    </row>
    <row r="1612" spans="2:13" x14ac:dyDescent="0.3">
      <c r="B1612"/>
      <c r="M1612"/>
    </row>
    <row r="1613" spans="2:13" x14ac:dyDescent="0.3">
      <c r="B1613"/>
      <c r="M1613"/>
    </row>
    <row r="1614" spans="2:13" x14ac:dyDescent="0.3">
      <c r="B1614"/>
      <c r="M1614"/>
    </row>
    <row r="1615" spans="2:13" x14ac:dyDescent="0.3">
      <c r="B1615"/>
      <c r="M1615"/>
    </row>
    <row r="1616" spans="2:13" x14ac:dyDescent="0.3">
      <c r="B1616"/>
      <c r="M1616"/>
    </row>
    <row r="1617" spans="2:13" x14ac:dyDescent="0.3">
      <c r="B1617"/>
      <c r="M1617"/>
    </row>
    <row r="1618" spans="2:13" x14ac:dyDescent="0.3">
      <c r="B1618"/>
      <c r="M1618"/>
    </row>
    <row r="1619" spans="2:13" x14ac:dyDescent="0.3">
      <c r="B1619"/>
      <c r="M1619"/>
    </row>
    <row r="1620" spans="2:13" x14ac:dyDescent="0.3">
      <c r="B1620"/>
      <c r="M1620"/>
    </row>
    <row r="1621" spans="2:13" x14ac:dyDescent="0.3">
      <c r="B1621"/>
      <c r="M1621"/>
    </row>
    <row r="1622" spans="2:13" x14ac:dyDescent="0.3">
      <c r="B1622"/>
      <c r="M1622"/>
    </row>
    <row r="1623" spans="2:13" x14ac:dyDescent="0.3">
      <c r="B1623"/>
      <c r="M1623"/>
    </row>
    <row r="1624" spans="2:13" x14ac:dyDescent="0.3">
      <c r="B1624"/>
      <c r="M1624"/>
    </row>
    <row r="1625" spans="2:13" x14ac:dyDescent="0.3">
      <c r="B1625"/>
      <c r="M1625"/>
    </row>
    <row r="1626" spans="2:13" x14ac:dyDescent="0.3">
      <c r="B1626"/>
      <c r="M1626"/>
    </row>
    <row r="1627" spans="2:13" x14ac:dyDescent="0.3">
      <c r="B1627"/>
      <c r="M1627"/>
    </row>
    <row r="1628" spans="2:13" x14ac:dyDescent="0.3">
      <c r="B1628"/>
      <c r="M1628"/>
    </row>
    <row r="1629" spans="2:13" x14ac:dyDescent="0.3">
      <c r="B1629"/>
      <c r="M1629"/>
    </row>
    <row r="1630" spans="2:13" x14ac:dyDescent="0.3">
      <c r="B1630"/>
      <c r="M1630"/>
    </row>
    <row r="1631" spans="2:13" x14ac:dyDescent="0.3">
      <c r="B1631"/>
      <c r="M1631"/>
    </row>
    <row r="1632" spans="2:13" x14ac:dyDescent="0.3">
      <c r="B1632"/>
      <c r="M1632"/>
    </row>
    <row r="1633" spans="2:13" x14ac:dyDescent="0.3">
      <c r="B1633"/>
      <c r="M1633"/>
    </row>
    <row r="1634" spans="2:13" x14ac:dyDescent="0.3">
      <c r="B1634"/>
      <c r="M1634"/>
    </row>
    <row r="1635" spans="2:13" x14ac:dyDescent="0.3">
      <c r="B1635"/>
      <c r="M1635"/>
    </row>
    <row r="1636" spans="2:13" x14ac:dyDescent="0.3">
      <c r="B1636"/>
      <c r="M1636"/>
    </row>
    <row r="1637" spans="2:13" x14ac:dyDescent="0.3">
      <c r="B1637"/>
      <c r="M1637"/>
    </row>
    <row r="1638" spans="2:13" x14ac:dyDescent="0.3">
      <c r="B1638"/>
      <c r="M1638"/>
    </row>
    <row r="1639" spans="2:13" x14ac:dyDescent="0.3">
      <c r="B1639"/>
      <c r="M1639"/>
    </row>
    <row r="1640" spans="2:13" x14ac:dyDescent="0.3">
      <c r="B1640"/>
      <c r="M1640"/>
    </row>
    <row r="1641" spans="2:13" x14ac:dyDescent="0.3">
      <c r="B1641"/>
      <c r="M1641"/>
    </row>
    <row r="1642" spans="2:13" x14ac:dyDescent="0.3">
      <c r="B1642"/>
      <c r="M1642"/>
    </row>
    <row r="1643" spans="2:13" x14ac:dyDescent="0.3">
      <c r="B1643"/>
      <c r="M1643"/>
    </row>
    <row r="1644" spans="2:13" x14ac:dyDescent="0.3">
      <c r="B1644"/>
      <c r="M1644"/>
    </row>
    <row r="1645" spans="2:13" x14ac:dyDescent="0.3">
      <c r="B1645"/>
      <c r="M1645"/>
    </row>
    <row r="1646" spans="2:13" x14ac:dyDescent="0.3">
      <c r="B1646"/>
      <c r="M1646"/>
    </row>
    <row r="1647" spans="2:13" x14ac:dyDescent="0.3">
      <c r="B1647"/>
      <c r="M1647"/>
    </row>
    <row r="1648" spans="2:13" x14ac:dyDescent="0.3">
      <c r="B1648"/>
      <c r="M1648"/>
    </row>
    <row r="1649" spans="2:13" x14ac:dyDescent="0.3">
      <c r="B1649"/>
      <c r="M1649"/>
    </row>
    <row r="1650" spans="2:13" x14ac:dyDescent="0.3">
      <c r="B1650"/>
      <c r="M1650"/>
    </row>
    <row r="1651" spans="2:13" x14ac:dyDescent="0.3">
      <c r="B1651"/>
      <c r="M1651"/>
    </row>
    <row r="1652" spans="2:13" x14ac:dyDescent="0.3">
      <c r="B1652"/>
      <c r="M1652"/>
    </row>
    <row r="1653" spans="2:13" x14ac:dyDescent="0.3">
      <c r="B1653"/>
      <c r="M1653"/>
    </row>
    <row r="1654" spans="2:13" x14ac:dyDescent="0.3">
      <c r="B1654"/>
      <c r="M1654"/>
    </row>
    <row r="1655" spans="2:13" x14ac:dyDescent="0.3">
      <c r="B1655"/>
      <c r="M1655"/>
    </row>
    <row r="1656" spans="2:13" x14ac:dyDescent="0.3">
      <c r="B1656"/>
      <c r="M1656"/>
    </row>
    <row r="1657" spans="2:13" x14ac:dyDescent="0.3">
      <c r="B1657"/>
      <c r="M1657"/>
    </row>
    <row r="1658" spans="2:13" x14ac:dyDescent="0.3">
      <c r="B1658"/>
      <c r="M1658"/>
    </row>
    <row r="1659" spans="2:13" x14ac:dyDescent="0.3">
      <c r="B1659"/>
      <c r="M1659"/>
    </row>
    <row r="1660" spans="2:13" x14ac:dyDescent="0.3">
      <c r="B1660"/>
      <c r="M1660"/>
    </row>
    <row r="1661" spans="2:13" x14ac:dyDescent="0.3">
      <c r="B1661"/>
      <c r="M1661"/>
    </row>
    <row r="1662" spans="2:13" x14ac:dyDescent="0.3">
      <c r="B1662"/>
      <c r="M1662"/>
    </row>
    <row r="1663" spans="2:13" x14ac:dyDescent="0.3">
      <c r="B1663"/>
      <c r="M1663"/>
    </row>
    <row r="1664" spans="2:13" x14ac:dyDescent="0.3">
      <c r="B1664"/>
      <c r="M1664"/>
    </row>
    <row r="1665" spans="2:13" x14ac:dyDescent="0.3">
      <c r="B1665"/>
      <c r="M1665"/>
    </row>
    <row r="1666" spans="2:13" x14ac:dyDescent="0.3">
      <c r="B1666"/>
      <c r="M1666"/>
    </row>
    <row r="1667" spans="2:13" x14ac:dyDescent="0.3">
      <c r="B1667"/>
      <c r="M1667"/>
    </row>
    <row r="1668" spans="2:13" x14ac:dyDescent="0.3">
      <c r="B1668"/>
      <c r="M1668"/>
    </row>
    <row r="1669" spans="2:13" x14ac:dyDescent="0.3">
      <c r="B1669"/>
      <c r="M1669"/>
    </row>
    <row r="1670" spans="2:13" x14ac:dyDescent="0.3">
      <c r="B1670"/>
      <c r="M1670"/>
    </row>
    <row r="1671" spans="2:13" x14ac:dyDescent="0.3">
      <c r="B1671"/>
      <c r="M1671"/>
    </row>
    <row r="1672" spans="2:13" x14ac:dyDescent="0.3">
      <c r="B1672"/>
      <c r="M1672"/>
    </row>
    <row r="1673" spans="2:13" x14ac:dyDescent="0.3">
      <c r="B1673"/>
      <c r="M1673"/>
    </row>
    <row r="1674" spans="2:13" x14ac:dyDescent="0.3">
      <c r="B1674"/>
      <c r="M1674"/>
    </row>
    <row r="1675" spans="2:13" x14ac:dyDescent="0.3">
      <c r="B1675"/>
      <c r="M1675"/>
    </row>
    <row r="1676" spans="2:13" x14ac:dyDescent="0.3">
      <c r="B1676"/>
      <c r="M1676"/>
    </row>
    <row r="1677" spans="2:13" x14ac:dyDescent="0.3">
      <c r="B1677"/>
      <c r="M1677"/>
    </row>
    <row r="1678" spans="2:13" x14ac:dyDescent="0.3">
      <c r="B1678"/>
      <c r="M1678"/>
    </row>
    <row r="1679" spans="2:13" x14ac:dyDescent="0.3">
      <c r="B1679"/>
      <c r="M1679"/>
    </row>
    <row r="1680" spans="2:13" x14ac:dyDescent="0.3">
      <c r="B1680"/>
      <c r="M1680"/>
    </row>
    <row r="1681" spans="2:13" x14ac:dyDescent="0.3">
      <c r="B1681"/>
      <c r="M1681"/>
    </row>
    <row r="1682" spans="2:13" x14ac:dyDescent="0.3">
      <c r="B1682"/>
      <c r="M1682"/>
    </row>
    <row r="1683" spans="2:13" x14ac:dyDescent="0.3">
      <c r="B1683"/>
      <c r="M1683"/>
    </row>
    <row r="1684" spans="2:13" x14ac:dyDescent="0.3">
      <c r="B1684"/>
      <c r="M1684"/>
    </row>
    <row r="1685" spans="2:13" x14ac:dyDescent="0.3">
      <c r="B1685"/>
      <c r="M1685"/>
    </row>
    <row r="1686" spans="2:13" x14ac:dyDescent="0.3">
      <c r="B1686"/>
      <c r="M1686"/>
    </row>
    <row r="1687" spans="2:13" x14ac:dyDescent="0.3">
      <c r="B1687"/>
      <c r="M1687"/>
    </row>
    <row r="1688" spans="2:13" x14ac:dyDescent="0.3">
      <c r="B1688"/>
      <c r="M1688"/>
    </row>
    <row r="1689" spans="2:13" x14ac:dyDescent="0.3">
      <c r="B1689"/>
      <c r="M1689"/>
    </row>
    <row r="1690" spans="2:13" x14ac:dyDescent="0.3">
      <c r="B1690"/>
      <c r="M1690"/>
    </row>
    <row r="1691" spans="2:13" x14ac:dyDescent="0.3">
      <c r="B1691"/>
      <c r="M1691"/>
    </row>
    <row r="1692" spans="2:13" x14ac:dyDescent="0.3">
      <c r="B1692"/>
      <c r="M1692"/>
    </row>
    <row r="1693" spans="2:13" x14ac:dyDescent="0.3">
      <c r="B1693"/>
      <c r="M1693"/>
    </row>
    <row r="1694" spans="2:13" x14ac:dyDescent="0.3">
      <c r="B1694"/>
      <c r="M1694"/>
    </row>
    <row r="1695" spans="2:13" x14ac:dyDescent="0.3">
      <c r="B1695"/>
      <c r="M1695"/>
    </row>
    <row r="1696" spans="2:13" x14ac:dyDescent="0.3">
      <c r="B1696"/>
      <c r="M1696"/>
    </row>
    <row r="1697" spans="2:13" x14ac:dyDescent="0.3">
      <c r="B1697"/>
      <c r="M1697"/>
    </row>
    <row r="1698" spans="2:13" x14ac:dyDescent="0.3">
      <c r="B1698"/>
      <c r="M1698"/>
    </row>
    <row r="1699" spans="2:13" x14ac:dyDescent="0.3">
      <c r="B1699"/>
      <c r="M1699"/>
    </row>
    <row r="1700" spans="2:13" x14ac:dyDescent="0.3">
      <c r="B1700"/>
      <c r="M1700"/>
    </row>
    <row r="1701" spans="2:13" x14ac:dyDescent="0.3">
      <c r="B1701"/>
      <c r="M1701"/>
    </row>
    <row r="1702" spans="2:13" x14ac:dyDescent="0.3">
      <c r="B1702"/>
      <c r="M1702"/>
    </row>
    <row r="1703" spans="2:13" x14ac:dyDescent="0.3">
      <c r="B1703"/>
      <c r="M1703"/>
    </row>
    <row r="1704" spans="2:13" x14ac:dyDescent="0.3">
      <c r="B1704"/>
      <c r="M1704"/>
    </row>
    <row r="1705" spans="2:13" x14ac:dyDescent="0.3">
      <c r="B1705"/>
      <c r="M1705"/>
    </row>
    <row r="1706" spans="2:13" x14ac:dyDescent="0.3">
      <c r="B1706"/>
      <c r="M1706"/>
    </row>
    <row r="1707" spans="2:13" x14ac:dyDescent="0.3">
      <c r="B1707"/>
      <c r="M1707"/>
    </row>
    <row r="1708" spans="2:13" x14ac:dyDescent="0.3">
      <c r="B1708"/>
      <c r="M1708"/>
    </row>
    <row r="1709" spans="2:13" x14ac:dyDescent="0.3">
      <c r="B1709"/>
      <c r="M1709"/>
    </row>
    <row r="1710" spans="2:13" x14ac:dyDescent="0.3">
      <c r="B1710"/>
      <c r="M1710"/>
    </row>
    <row r="1711" spans="2:13" x14ac:dyDescent="0.3">
      <c r="B1711"/>
      <c r="M1711"/>
    </row>
    <row r="1712" spans="2:13" x14ac:dyDescent="0.3">
      <c r="B1712"/>
      <c r="M1712"/>
    </row>
    <row r="1713" spans="2:13" x14ac:dyDescent="0.3">
      <c r="B1713"/>
      <c r="M1713"/>
    </row>
    <row r="1714" spans="2:13" x14ac:dyDescent="0.3">
      <c r="B1714"/>
      <c r="M1714"/>
    </row>
    <row r="1715" spans="2:13" x14ac:dyDescent="0.3">
      <c r="B1715"/>
      <c r="M1715"/>
    </row>
    <row r="1716" spans="2:13" x14ac:dyDescent="0.3">
      <c r="B1716"/>
      <c r="M1716"/>
    </row>
    <row r="1717" spans="2:13" x14ac:dyDescent="0.3">
      <c r="B1717"/>
      <c r="M1717"/>
    </row>
    <row r="1718" spans="2:13" x14ac:dyDescent="0.3">
      <c r="B1718"/>
      <c r="M1718"/>
    </row>
    <row r="1719" spans="2:13" x14ac:dyDescent="0.3">
      <c r="B1719"/>
      <c r="M1719"/>
    </row>
    <row r="1720" spans="2:13" x14ac:dyDescent="0.3">
      <c r="B1720"/>
      <c r="M1720"/>
    </row>
    <row r="1721" spans="2:13" x14ac:dyDescent="0.3">
      <c r="B1721"/>
      <c r="M1721"/>
    </row>
    <row r="1722" spans="2:13" x14ac:dyDescent="0.3">
      <c r="B1722"/>
      <c r="M1722"/>
    </row>
    <row r="1723" spans="2:13" x14ac:dyDescent="0.3">
      <c r="B1723"/>
      <c r="M1723"/>
    </row>
    <row r="1724" spans="2:13" x14ac:dyDescent="0.3">
      <c r="B1724"/>
      <c r="M1724"/>
    </row>
    <row r="1725" spans="2:13" x14ac:dyDescent="0.3">
      <c r="B1725"/>
      <c r="M1725"/>
    </row>
    <row r="1726" spans="2:13" x14ac:dyDescent="0.3">
      <c r="B1726"/>
      <c r="M1726"/>
    </row>
    <row r="1727" spans="2:13" x14ac:dyDescent="0.3">
      <c r="B1727"/>
      <c r="M1727"/>
    </row>
    <row r="1728" spans="2:13" x14ac:dyDescent="0.3">
      <c r="B1728"/>
      <c r="M1728"/>
    </row>
    <row r="1729" spans="2:13" x14ac:dyDescent="0.3">
      <c r="B1729"/>
      <c r="M1729"/>
    </row>
    <row r="1730" spans="2:13" x14ac:dyDescent="0.3">
      <c r="B1730"/>
      <c r="M1730"/>
    </row>
    <row r="1731" spans="2:13" x14ac:dyDescent="0.3">
      <c r="B1731"/>
      <c r="M1731"/>
    </row>
    <row r="1732" spans="2:13" x14ac:dyDescent="0.3">
      <c r="B1732"/>
      <c r="M1732"/>
    </row>
    <row r="1733" spans="2:13" x14ac:dyDescent="0.3">
      <c r="B1733"/>
      <c r="M1733"/>
    </row>
    <row r="1734" spans="2:13" x14ac:dyDescent="0.3">
      <c r="B1734"/>
      <c r="M1734"/>
    </row>
    <row r="1735" spans="2:13" x14ac:dyDescent="0.3">
      <c r="B1735"/>
      <c r="M1735"/>
    </row>
    <row r="1736" spans="2:13" x14ac:dyDescent="0.3">
      <c r="B1736"/>
      <c r="M1736"/>
    </row>
    <row r="1737" spans="2:13" x14ac:dyDescent="0.3">
      <c r="B1737"/>
      <c r="M1737"/>
    </row>
    <row r="1738" spans="2:13" x14ac:dyDescent="0.3">
      <c r="B1738"/>
      <c r="M1738"/>
    </row>
    <row r="1739" spans="2:13" x14ac:dyDescent="0.3">
      <c r="B1739"/>
      <c r="M1739"/>
    </row>
    <row r="1740" spans="2:13" x14ac:dyDescent="0.3">
      <c r="B1740"/>
      <c r="M1740"/>
    </row>
    <row r="1741" spans="2:13" x14ac:dyDescent="0.3">
      <c r="B1741"/>
      <c r="M1741"/>
    </row>
    <row r="1742" spans="2:13" x14ac:dyDescent="0.3">
      <c r="B1742"/>
      <c r="M1742"/>
    </row>
    <row r="1743" spans="2:13" x14ac:dyDescent="0.3">
      <c r="B1743"/>
      <c r="M1743"/>
    </row>
    <row r="1744" spans="2:13" x14ac:dyDescent="0.3">
      <c r="B1744"/>
      <c r="M1744"/>
    </row>
    <row r="1745" spans="2:13" x14ac:dyDescent="0.3">
      <c r="B1745"/>
      <c r="M1745"/>
    </row>
    <row r="1746" spans="2:13" x14ac:dyDescent="0.3">
      <c r="B1746"/>
      <c r="M1746"/>
    </row>
    <row r="1747" spans="2:13" x14ac:dyDescent="0.3">
      <c r="B1747"/>
      <c r="M1747"/>
    </row>
    <row r="1748" spans="2:13" x14ac:dyDescent="0.3">
      <c r="B1748"/>
      <c r="M1748"/>
    </row>
    <row r="1749" spans="2:13" x14ac:dyDescent="0.3">
      <c r="B1749"/>
      <c r="M1749"/>
    </row>
    <row r="1750" spans="2:13" x14ac:dyDescent="0.3">
      <c r="B1750"/>
      <c r="M1750"/>
    </row>
    <row r="1751" spans="2:13" x14ac:dyDescent="0.3">
      <c r="B1751"/>
      <c r="M1751"/>
    </row>
    <row r="1752" spans="2:13" x14ac:dyDescent="0.3">
      <c r="B1752"/>
      <c r="M1752"/>
    </row>
    <row r="1753" spans="2:13" x14ac:dyDescent="0.3">
      <c r="B1753"/>
      <c r="M1753"/>
    </row>
    <row r="1754" spans="2:13" x14ac:dyDescent="0.3">
      <c r="B1754"/>
      <c r="M1754"/>
    </row>
    <row r="1755" spans="2:13" x14ac:dyDescent="0.3">
      <c r="B1755"/>
      <c r="M1755"/>
    </row>
    <row r="1756" spans="2:13" x14ac:dyDescent="0.3">
      <c r="B1756"/>
      <c r="M1756"/>
    </row>
    <row r="1757" spans="2:13" x14ac:dyDescent="0.3">
      <c r="B1757"/>
      <c r="M1757"/>
    </row>
    <row r="1758" spans="2:13" x14ac:dyDescent="0.3">
      <c r="B1758"/>
      <c r="M1758"/>
    </row>
    <row r="1759" spans="2:13" x14ac:dyDescent="0.3">
      <c r="B1759"/>
      <c r="M1759"/>
    </row>
    <row r="1760" spans="2:13" x14ac:dyDescent="0.3">
      <c r="B1760"/>
      <c r="M1760"/>
    </row>
    <row r="1761" spans="2:13" x14ac:dyDescent="0.3">
      <c r="B1761"/>
      <c r="M1761"/>
    </row>
    <row r="1762" spans="2:13" x14ac:dyDescent="0.3">
      <c r="B1762"/>
      <c r="M1762"/>
    </row>
    <row r="1763" spans="2:13" x14ac:dyDescent="0.3">
      <c r="B1763"/>
      <c r="M1763"/>
    </row>
    <row r="1764" spans="2:13" x14ac:dyDescent="0.3">
      <c r="B1764"/>
      <c r="M1764"/>
    </row>
    <row r="1765" spans="2:13" x14ac:dyDescent="0.3">
      <c r="B1765"/>
      <c r="M1765"/>
    </row>
    <row r="1766" spans="2:13" x14ac:dyDescent="0.3">
      <c r="B1766"/>
      <c r="M1766"/>
    </row>
    <row r="1767" spans="2:13" x14ac:dyDescent="0.3">
      <c r="B1767"/>
      <c r="M1767"/>
    </row>
    <row r="1768" spans="2:13" x14ac:dyDescent="0.3">
      <c r="B1768"/>
      <c r="M1768"/>
    </row>
    <row r="1769" spans="2:13" x14ac:dyDescent="0.3">
      <c r="B1769"/>
      <c r="M1769"/>
    </row>
    <row r="1770" spans="2:13" x14ac:dyDescent="0.3">
      <c r="B1770"/>
      <c r="M1770"/>
    </row>
    <row r="1771" spans="2:13" x14ac:dyDescent="0.3">
      <c r="B1771"/>
      <c r="M1771"/>
    </row>
    <row r="1772" spans="2:13" x14ac:dyDescent="0.3">
      <c r="B1772"/>
      <c r="M1772"/>
    </row>
    <row r="1773" spans="2:13" x14ac:dyDescent="0.3">
      <c r="B1773"/>
      <c r="M1773"/>
    </row>
    <row r="1774" spans="2:13" x14ac:dyDescent="0.3">
      <c r="B1774"/>
      <c r="M1774"/>
    </row>
    <row r="1775" spans="2:13" x14ac:dyDescent="0.3">
      <c r="B1775"/>
      <c r="M1775"/>
    </row>
    <row r="1776" spans="2:13" x14ac:dyDescent="0.3">
      <c r="B1776"/>
      <c r="M1776"/>
    </row>
    <row r="1777" spans="2:13" x14ac:dyDescent="0.3">
      <c r="B1777"/>
      <c r="M1777"/>
    </row>
    <row r="1778" spans="2:13" x14ac:dyDescent="0.3">
      <c r="B1778"/>
      <c r="M1778"/>
    </row>
    <row r="1779" spans="2:13" x14ac:dyDescent="0.3">
      <c r="B1779"/>
      <c r="M1779"/>
    </row>
    <row r="1780" spans="2:13" x14ac:dyDescent="0.3">
      <c r="B1780"/>
      <c r="M1780"/>
    </row>
    <row r="1781" spans="2:13" x14ac:dyDescent="0.3">
      <c r="B1781"/>
      <c r="M1781"/>
    </row>
    <row r="1782" spans="2:13" x14ac:dyDescent="0.3">
      <c r="B1782"/>
      <c r="M1782"/>
    </row>
    <row r="1783" spans="2:13" x14ac:dyDescent="0.3">
      <c r="B1783"/>
      <c r="M1783"/>
    </row>
    <row r="1784" spans="2:13" x14ac:dyDescent="0.3">
      <c r="B1784"/>
      <c r="M1784"/>
    </row>
    <row r="1785" spans="2:13" x14ac:dyDescent="0.3">
      <c r="B1785"/>
      <c r="M1785"/>
    </row>
    <row r="1786" spans="2:13" x14ac:dyDescent="0.3">
      <c r="B1786"/>
      <c r="M1786"/>
    </row>
    <row r="1787" spans="2:13" x14ac:dyDescent="0.3">
      <c r="B1787"/>
      <c r="M1787"/>
    </row>
    <row r="1788" spans="2:13" x14ac:dyDescent="0.3">
      <c r="B1788"/>
      <c r="M1788"/>
    </row>
    <row r="1789" spans="2:13" x14ac:dyDescent="0.3">
      <c r="B1789"/>
      <c r="M1789"/>
    </row>
    <row r="1790" spans="2:13" x14ac:dyDescent="0.3">
      <c r="B1790"/>
      <c r="M1790"/>
    </row>
    <row r="1791" spans="2:13" x14ac:dyDescent="0.3">
      <c r="B1791"/>
      <c r="M1791"/>
    </row>
    <row r="1792" spans="2:13" x14ac:dyDescent="0.3">
      <c r="B1792"/>
      <c r="M1792"/>
    </row>
    <row r="1793" spans="2:13" x14ac:dyDescent="0.3">
      <c r="B1793"/>
      <c r="M1793"/>
    </row>
    <row r="1794" spans="2:13" x14ac:dyDescent="0.3">
      <c r="B1794"/>
      <c r="M1794"/>
    </row>
    <row r="1795" spans="2:13" x14ac:dyDescent="0.3">
      <c r="B1795"/>
      <c r="M1795"/>
    </row>
    <row r="1796" spans="2:13" x14ac:dyDescent="0.3">
      <c r="B1796"/>
      <c r="M1796"/>
    </row>
    <row r="1797" spans="2:13" x14ac:dyDescent="0.3">
      <c r="B1797"/>
      <c r="M1797"/>
    </row>
    <row r="1798" spans="2:13" x14ac:dyDescent="0.3">
      <c r="B1798"/>
      <c r="M1798"/>
    </row>
    <row r="1799" spans="2:13" x14ac:dyDescent="0.3">
      <c r="B1799"/>
      <c r="M1799"/>
    </row>
    <row r="1800" spans="2:13" x14ac:dyDescent="0.3">
      <c r="B1800"/>
      <c r="M1800"/>
    </row>
    <row r="1801" spans="2:13" x14ac:dyDescent="0.3">
      <c r="B1801"/>
      <c r="M1801"/>
    </row>
    <row r="1802" spans="2:13" x14ac:dyDescent="0.3">
      <c r="B1802"/>
      <c r="M1802"/>
    </row>
    <row r="1803" spans="2:13" x14ac:dyDescent="0.3">
      <c r="B1803"/>
      <c r="M1803"/>
    </row>
    <row r="1804" spans="2:13" x14ac:dyDescent="0.3">
      <c r="B1804"/>
      <c r="M1804"/>
    </row>
    <row r="1805" spans="2:13" x14ac:dyDescent="0.3">
      <c r="B1805"/>
      <c r="M1805"/>
    </row>
    <row r="1806" spans="2:13" x14ac:dyDescent="0.3">
      <c r="B1806"/>
      <c r="M1806"/>
    </row>
    <row r="1807" spans="2:13" x14ac:dyDescent="0.3">
      <c r="B1807"/>
      <c r="M1807"/>
    </row>
    <row r="1808" spans="2:13" x14ac:dyDescent="0.3">
      <c r="B1808"/>
      <c r="M1808"/>
    </row>
    <row r="1809" spans="2:13" x14ac:dyDescent="0.3">
      <c r="B1809"/>
      <c r="M1809"/>
    </row>
    <row r="1810" spans="2:13" x14ac:dyDescent="0.3">
      <c r="B1810"/>
      <c r="M1810"/>
    </row>
    <row r="1811" spans="2:13" x14ac:dyDescent="0.3">
      <c r="B1811"/>
      <c r="M1811"/>
    </row>
    <row r="1812" spans="2:13" x14ac:dyDescent="0.3">
      <c r="B1812"/>
      <c r="M1812"/>
    </row>
    <row r="1813" spans="2:13" x14ac:dyDescent="0.3">
      <c r="B1813"/>
      <c r="M1813"/>
    </row>
    <row r="1814" spans="2:13" x14ac:dyDescent="0.3">
      <c r="B1814"/>
      <c r="M1814"/>
    </row>
    <row r="1815" spans="2:13" x14ac:dyDescent="0.3">
      <c r="B1815"/>
      <c r="M1815"/>
    </row>
    <row r="1816" spans="2:13" x14ac:dyDescent="0.3">
      <c r="B1816"/>
      <c r="M1816"/>
    </row>
    <row r="1817" spans="2:13" x14ac:dyDescent="0.3">
      <c r="B1817"/>
      <c r="M1817"/>
    </row>
    <row r="1818" spans="2:13" x14ac:dyDescent="0.3">
      <c r="B1818"/>
      <c r="M1818"/>
    </row>
    <row r="1819" spans="2:13" x14ac:dyDescent="0.3">
      <c r="B1819"/>
      <c r="M1819"/>
    </row>
    <row r="1820" spans="2:13" x14ac:dyDescent="0.3">
      <c r="B1820"/>
      <c r="M1820"/>
    </row>
    <row r="1821" spans="2:13" x14ac:dyDescent="0.3">
      <c r="B1821"/>
      <c r="M1821"/>
    </row>
    <row r="1822" spans="2:13" x14ac:dyDescent="0.3">
      <c r="B1822"/>
      <c r="M1822"/>
    </row>
    <row r="1823" spans="2:13" x14ac:dyDescent="0.3">
      <c r="B1823"/>
      <c r="M1823"/>
    </row>
    <row r="1824" spans="2:13" x14ac:dyDescent="0.3">
      <c r="B1824"/>
      <c r="M1824"/>
    </row>
    <row r="1825" spans="2:13" x14ac:dyDescent="0.3">
      <c r="B1825"/>
      <c r="M1825"/>
    </row>
    <row r="1826" spans="2:13" x14ac:dyDescent="0.3">
      <c r="B1826"/>
      <c r="M1826"/>
    </row>
    <row r="1827" spans="2:13" x14ac:dyDescent="0.3">
      <c r="B1827"/>
      <c r="M1827"/>
    </row>
    <row r="1828" spans="2:13" x14ac:dyDescent="0.3">
      <c r="B1828"/>
      <c r="M1828"/>
    </row>
    <row r="1829" spans="2:13" x14ac:dyDescent="0.3">
      <c r="B1829"/>
      <c r="M1829"/>
    </row>
    <row r="1830" spans="2:13" x14ac:dyDescent="0.3">
      <c r="B1830"/>
      <c r="M1830"/>
    </row>
    <row r="1831" spans="2:13" x14ac:dyDescent="0.3">
      <c r="B1831"/>
      <c r="M1831"/>
    </row>
    <row r="1832" spans="2:13" x14ac:dyDescent="0.3">
      <c r="B1832"/>
      <c r="M1832"/>
    </row>
    <row r="1833" spans="2:13" x14ac:dyDescent="0.3">
      <c r="B1833"/>
      <c r="M1833"/>
    </row>
    <row r="1834" spans="2:13" x14ac:dyDescent="0.3">
      <c r="B1834"/>
      <c r="M1834"/>
    </row>
    <row r="1835" spans="2:13" x14ac:dyDescent="0.3">
      <c r="B1835"/>
      <c r="M1835"/>
    </row>
    <row r="1836" spans="2:13" x14ac:dyDescent="0.3">
      <c r="B1836"/>
      <c r="M1836"/>
    </row>
    <row r="1837" spans="2:13" x14ac:dyDescent="0.3">
      <c r="B1837"/>
      <c r="M1837"/>
    </row>
    <row r="1838" spans="2:13" x14ac:dyDescent="0.3">
      <c r="B1838"/>
      <c r="M1838"/>
    </row>
    <row r="1839" spans="2:13" x14ac:dyDescent="0.3">
      <c r="B1839"/>
      <c r="M1839"/>
    </row>
    <row r="1840" spans="2:13" x14ac:dyDescent="0.3">
      <c r="B1840"/>
      <c r="M1840"/>
    </row>
    <row r="1841" spans="2:13" x14ac:dyDescent="0.3">
      <c r="B1841"/>
      <c r="M1841"/>
    </row>
    <row r="1842" spans="2:13" x14ac:dyDescent="0.3">
      <c r="B1842"/>
      <c r="M1842"/>
    </row>
    <row r="1843" spans="2:13" x14ac:dyDescent="0.3">
      <c r="B1843"/>
      <c r="M1843"/>
    </row>
    <row r="1844" spans="2:13" x14ac:dyDescent="0.3">
      <c r="B1844"/>
      <c r="M1844"/>
    </row>
    <row r="1845" spans="2:13" x14ac:dyDescent="0.3">
      <c r="B1845"/>
      <c r="M1845"/>
    </row>
    <row r="1846" spans="2:13" x14ac:dyDescent="0.3">
      <c r="B1846"/>
      <c r="M1846"/>
    </row>
    <row r="1847" spans="2:13" x14ac:dyDescent="0.3">
      <c r="B1847"/>
      <c r="M1847"/>
    </row>
    <row r="1848" spans="2:13" x14ac:dyDescent="0.3">
      <c r="B1848"/>
      <c r="M1848"/>
    </row>
    <row r="1849" spans="2:13" x14ac:dyDescent="0.3">
      <c r="B1849"/>
      <c r="M1849"/>
    </row>
    <row r="1850" spans="2:13" x14ac:dyDescent="0.3">
      <c r="B1850"/>
      <c r="M1850"/>
    </row>
    <row r="1851" spans="2:13" x14ac:dyDescent="0.3">
      <c r="B1851"/>
      <c r="M1851"/>
    </row>
    <row r="1852" spans="2:13" x14ac:dyDescent="0.3">
      <c r="B1852"/>
      <c r="M1852"/>
    </row>
    <row r="1853" spans="2:13" x14ac:dyDescent="0.3">
      <c r="B1853"/>
      <c r="M1853"/>
    </row>
    <row r="1854" spans="2:13" x14ac:dyDescent="0.3">
      <c r="B1854"/>
      <c r="M1854"/>
    </row>
    <row r="1855" spans="2:13" x14ac:dyDescent="0.3">
      <c r="B1855"/>
      <c r="M1855"/>
    </row>
    <row r="1856" spans="2:13" x14ac:dyDescent="0.3">
      <c r="B1856"/>
      <c r="M1856"/>
    </row>
    <row r="1857" spans="2:13" x14ac:dyDescent="0.3">
      <c r="B1857"/>
      <c r="M1857"/>
    </row>
    <row r="1858" spans="2:13" x14ac:dyDescent="0.3">
      <c r="B1858"/>
      <c r="M1858"/>
    </row>
    <row r="1859" spans="2:13" x14ac:dyDescent="0.3">
      <c r="B1859"/>
      <c r="M1859"/>
    </row>
    <row r="1860" spans="2:13" x14ac:dyDescent="0.3">
      <c r="B1860"/>
      <c r="M1860"/>
    </row>
    <row r="1861" spans="2:13" x14ac:dyDescent="0.3">
      <c r="B1861"/>
      <c r="M1861"/>
    </row>
    <row r="1862" spans="2:13" x14ac:dyDescent="0.3">
      <c r="B1862"/>
      <c r="M1862"/>
    </row>
    <row r="1863" spans="2:13" x14ac:dyDescent="0.3">
      <c r="B1863"/>
      <c r="M1863"/>
    </row>
    <row r="1864" spans="2:13" x14ac:dyDescent="0.3">
      <c r="B1864"/>
      <c r="M1864"/>
    </row>
    <row r="1865" spans="2:13" x14ac:dyDescent="0.3">
      <c r="B1865"/>
      <c r="M1865"/>
    </row>
    <row r="1866" spans="2:13" x14ac:dyDescent="0.3">
      <c r="B1866"/>
      <c r="M1866"/>
    </row>
    <row r="1867" spans="2:13" x14ac:dyDescent="0.3">
      <c r="B1867"/>
      <c r="M1867"/>
    </row>
    <row r="1868" spans="2:13" x14ac:dyDescent="0.3">
      <c r="B1868"/>
      <c r="M1868"/>
    </row>
    <row r="1869" spans="2:13" x14ac:dyDescent="0.3">
      <c r="B1869"/>
      <c r="M1869"/>
    </row>
    <row r="1870" spans="2:13" x14ac:dyDescent="0.3">
      <c r="B1870"/>
      <c r="M1870"/>
    </row>
    <row r="1871" spans="2:13" x14ac:dyDescent="0.3">
      <c r="B1871"/>
      <c r="M1871"/>
    </row>
    <row r="1872" spans="2:13" x14ac:dyDescent="0.3">
      <c r="B1872"/>
      <c r="M1872"/>
    </row>
    <row r="1873" spans="2:13" x14ac:dyDescent="0.3">
      <c r="B1873"/>
      <c r="M1873"/>
    </row>
    <row r="1874" spans="2:13" x14ac:dyDescent="0.3">
      <c r="B1874"/>
      <c r="M1874"/>
    </row>
    <row r="1875" spans="2:13" x14ac:dyDescent="0.3">
      <c r="B1875"/>
      <c r="M1875"/>
    </row>
    <row r="1876" spans="2:13" x14ac:dyDescent="0.3">
      <c r="B1876"/>
      <c r="M1876"/>
    </row>
    <row r="1877" spans="2:13" x14ac:dyDescent="0.3">
      <c r="B1877"/>
      <c r="M1877"/>
    </row>
    <row r="1878" spans="2:13" x14ac:dyDescent="0.3">
      <c r="B1878"/>
      <c r="M1878"/>
    </row>
    <row r="1879" spans="2:13" x14ac:dyDescent="0.3">
      <c r="B1879"/>
      <c r="M1879"/>
    </row>
    <row r="1880" spans="2:13" x14ac:dyDescent="0.3">
      <c r="B1880"/>
      <c r="M1880"/>
    </row>
    <row r="1881" spans="2:13" x14ac:dyDescent="0.3">
      <c r="B1881"/>
      <c r="M1881"/>
    </row>
    <row r="1882" spans="2:13" x14ac:dyDescent="0.3">
      <c r="B1882"/>
      <c r="M1882"/>
    </row>
    <row r="1883" spans="2:13" x14ac:dyDescent="0.3">
      <c r="B1883"/>
      <c r="M1883"/>
    </row>
    <row r="1884" spans="2:13" x14ac:dyDescent="0.3">
      <c r="B1884"/>
      <c r="M1884"/>
    </row>
    <row r="1885" spans="2:13" x14ac:dyDescent="0.3">
      <c r="B1885"/>
      <c r="M1885"/>
    </row>
    <row r="1886" spans="2:13" x14ac:dyDescent="0.3">
      <c r="B1886"/>
      <c r="M1886"/>
    </row>
    <row r="1887" spans="2:13" x14ac:dyDescent="0.3">
      <c r="B1887"/>
      <c r="M1887"/>
    </row>
    <row r="1888" spans="2:13" x14ac:dyDescent="0.3">
      <c r="B1888"/>
      <c r="M1888"/>
    </row>
    <row r="1889" spans="2:13" x14ac:dyDescent="0.3">
      <c r="B1889"/>
      <c r="M1889"/>
    </row>
    <row r="1890" spans="2:13" x14ac:dyDescent="0.3">
      <c r="B1890"/>
      <c r="M1890"/>
    </row>
    <row r="1891" spans="2:13" x14ac:dyDescent="0.3">
      <c r="B1891"/>
      <c r="M1891"/>
    </row>
    <row r="1892" spans="2:13" x14ac:dyDescent="0.3">
      <c r="B1892"/>
      <c r="M1892"/>
    </row>
    <row r="1893" spans="2:13" x14ac:dyDescent="0.3">
      <c r="B1893"/>
      <c r="M1893"/>
    </row>
    <row r="1894" spans="2:13" x14ac:dyDescent="0.3">
      <c r="B1894"/>
      <c r="M1894"/>
    </row>
    <row r="1895" spans="2:13" x14ac:dyDescent="0.3">
      <c r="B1895"/>
      <c r="M1895"/>
    </row>
    <row r="1896" spans="2:13" x14ac:dyDescent="0.3">
      <c r="B1896"/>
      <c r="M1896"/>
    </row>
    <row r="1897" spans="2:13" x14ac:dyDescent="0.3">
      <c r="B1897"/>
      <c r="M1897"/>
    </row>
    <row r="1898" spans="2:13" x14ac:dyDescent="0.3">
      <c r="B1898"/>
      <c r="M1898"/>
    </row>
    <row r="1899" spans="2:13" x14ac:dyDescent="0.3">
      <c r="B1899"/>
      <c r="M1899"/>
    </row>
    <row r="1900" spans="2:13" x14ac:dyDescent="0.3">
      <c r="B1900"/>
      <c r="M1900"/>
    </row>
    <row r="1901" spans="2:13" x14ac:dyDescent="0.3">
      <c r="B1901"/>
      <c r="M1901"/>
    </row>
    <row r="1902" spans="2:13" x14ac:dyDescent="0.3">
      <c r="B1902"/>
      <c r="M1902"/>
    </row>
    <row r="1903" spans="2:13" x14ac:dyDescent="0.3">
      <c r="B1903"/>
      <c r="M1903"/>
    </row>
    <row r="1904" spans="2:13" x14ac:dyDescent="0.3">
      <c r="B1904"/>
      <c r="M1904"/>
    </row>
    <row r="1905" spans="2:13" x14ac:dyDescent="0.3">
      <c r="B1905"/>
      <c r="M1905"/>
    </row>
    <row r="1906" spans="2:13" x14ac:dyDescent="0.3">
      <c r="B1906"/>
      <c r="M1906"/>
    </row>
    <row r="1907" spans="2:13" x14ac:dyDescent="0.3">
      <c r="B1907"/>
      <c r="M1907"/>
    </row>
    <row r="1908" spans="2:13" x14ac:dyDescent="0.3">
      <c r="B1908"/>
      <c r="M1908"/>
    </row>
    <row r="1909" spans="2:13" x14ac:dyDescent="0.3">
      <c r="B1909"/>
      <c r="M1909"/>
    </row>
    <row r="1910" spans="2:13" x14ac:dyDescent="0.3">
      <c r="B1910"/>
      <c r="M1910"/>
    </row>
    <row r="1911" spans="2:13" x14ac:dyDescent="0.3">
      <c r="B1911"/>
      <c r="M1911"/>
    </row>
    <row r="1912" spans="2:13" x14ac:dyDescent="0.3">
      <c r="B1912"/>
      <c r="M1912"/>
    </row>
    <row r="1913" spans="2:13" x14ac:dyDescent="0.3">
      <c r="B1913"/>
      <c r="M1913"/>
    </row>
    <row r="1914" spans="2:13" x14ac:dyDescent="0.3">
      <c r="B1914"/>
      <c r="M1914"/>
    </row>
    <row r="1915" spans="2:13" x14ac:dyDescent="0.3">
      <c r="B1915"/>
      <c r="M1915"/>
    </row>
    <row r="1916" spans="2:13" x14ac:dyDescent="0.3">
      <c r="B1916"/>
      <c r="M1916"/>
    </row>
    <row r="1917" spans="2:13" x14ac:dyDescent="0.3">
      <c r="B1917"/>
      <c r="M1917"/>
    </row>
    <row r="1918" spans="2:13" x14ac:dyDescent="0.3">
      <c r="B1918"/>
      <c r="M1918"/>
    </row>
    <row r="1919" spans="2:13" x14ac:dyDescent="0.3">
      <c r="B1919"/>
      <c r="M1919"/>
    </row>
    <row r="1920" spans="2:13" x14ac:dyDescent="0.3">
      <c r="B1920"/>
      <c r="M1920"/>
    </row>
    <row r="1921" spans="2:13" x14ac:dyDescent="0.3">
      <c r="B1921"/>
      <c r="M1921"/>
    </row>
    <row r="1922" spans="2:13" x14ac:dyDescent="0.3">
      <c r="B1922"/>
      <c r="M1922"/>
    </row>
    <row r="1923" spans="2:13" x14ac:dyDescent="0.3">
      <c r="B1923"/>
      <c r="M1923"/>
    </row>
    <row r="1924" spans="2:13" x14ac:dyDescent="0.3">
      <c r="B1924"/>
      <c r="M1924"/>
    </row>
    <row r="1925" spans="2:13" x14ac:dyDescent="0.3">
      <c r="B1925"/>
      <c r="M1925"/>
    </row>
    <row r="1926" spans="2:13" x14ac:dyDescent="0.3">
      <c r="B1926"/>
      <c r="M1926"/>
    </row>
    <row r="1927" spans="2:13" x14ac:dyDescent="0.3">
      <c r="B1927"/>
      <c r="M1927"/>
    </row>
    <row r="1928" spans="2:13" x14ac:dyDescent="0.3">
      <c r="B1928"/>
      <c r="M1928"/>
    </row>
    <row r="1929" spans="2:13" x14ac:dyDescent="0.3">
      <c r="B1929"/>
      <c r="M1929"/>
    </row>
    <row r="1930" spans="2:13" x14ac:dyDescent="0.3">
      <c r="B1930"/>
      <c r="M1930"/>
    </row>
    <row r="1931" spans="2:13" x14ac:dyDescent="0.3">
      <c r="B1931"/>
      <c r="M1931"/>
    </row>
    <row r="1932" spans="2:13" x14ac:dyDescent="0.3">
      <c r="B1932"/>
      <c r="M1932"/>
    </row>
    <row r="1933" spans="2:13" x14ac:dyDescent="0.3">
      <c r="B1933"/>
      <c r="M1933"/>
    </row>
    <row r="1934" spans="2:13" x14ac:dyDescent="0.3">
      <c r="B1934"/>
      <c r="M1934"/>
    </row>
    <row r="1935" spans="2:13" x14ac:dyDescent="0.3">
      <c r="B1935"/>
      <c r="M1935"/>
    </row>
    <row r="1936" spans="2:13" x14ac:dyDescent="0.3">
      <c r="B1936"/>
      <c r="M1936"/>
    </row>
    <row r="1937" spans="2:13" x14ac:dyDescent="0.3">
      <c r="B1937"/>
      <c r="M1937"/>
    </row>
    <row r="1938" spans="2:13" x14ac:dyDescent="0.3">
      <c r="B1938"/>
      <c r="M1938"/>
    </row>
    <row r="1939" spans="2:13" x14ac:dyDescent="0.3">
      <c r="B1939"/>
      <c r="M1939"/>
    </row>
    <row r="1940" spans="2:13" x14ac:dyDescent="0.3">
      <c r="B1940"/>
      <c r="M1940"/>
    </row>
    <row r="1941" spans="2:13" x14ac:dyDescent="0.3">
      <c r="B1941"/>
      <c r="M1941"/>
    </row>
    <row r="1942" spans="2:13" x14ac:dyDescent="0.3">
      <c r="B1942"/>
      <c r="M1942"/>
    </row>
    <row r="1943" spans="2:13" x14ac:dyDescent="0.3">
      <c r="B1943"/>
      <c r="M1943"/>
    </row>
    <row r="1944" spans="2:13" x14ac:dyDescent="0.3">
      <c r="B1944"/>
      <c r="M1944"/>
    </row>
    <row r="1945" spans="2:13" x14ac:dyDescent="0.3">
      <c r="B1945"/>
      <c r="M1945"/>
    </row>
    <row r="1946" spans="2:13" x14ac:dyDescent="0.3">
      <c r="B1946"/>
      <c r="M1946"/>
    </row>
    <row r="1947" spans="2:13" x14ac:dyDescent="0.3">
      <c r="B1947"/>
      <c r="M1947"/>
    </row>
    <row r="1948" spans="2:13" x14ac:dyDescent="0.3">
      <c r="B1948"/>
      <c r="M1948"/>
    </row>
    <row r="1949" spans="2:13" x14ac:dyDescent="0.3">
      <c r="B1949"/>
      <c r="M1949"/>
    </row>
    <row r="1950" spans="2:13" x14ac:dyDescent="0.3">
      <c r="B1950"/>
      <c r="M1950"/>
    </row>
    <row r="1951" spans="2:13" x14ac:dyDescent="0.3">
      <c r="B1951"/>
      <c r="M1951"/>
    </row>
    <row r="1952" spans="2:13" x14ac:dyDescent="0.3">
      <c r="B1952"/>
      <c r="M1952"/>
    </row>
    <row r="1953" spans="2:13" x14ac:dyDescent="0.3">
      <c r="B1953"/>
      <c r="M1953"/>
    </row>
    <row r="1954" spans="2:13" x14ac:dyDescent="0.3">
      <c r="B1954"/>
      <c r="M1954"/>
    </row>
    <row r="1955" spans="2:13" x14ac:dyDescent="0.3">
      <c r="B1955"/>
      <c r="M1955"/>
    </row>
    <row r="1956" spans="2:13" x14ac:dyDescent="0.3">
      <c r="B1956"/>
      <c r="M1956"/>
    </row>
    <row r="1957" spans="2:13" x14ac:dyDescent="0.3">
      <c r="B1957"/>
      <c r="M1957"/>
    </row>
    <row r="1958" spans="2:13" x14ac:dyDescent="0.3">
      <c r="B1958"/>
      <c r="M1958"/>
    </row>
    <row r="1959" spans="2:13" x14ac:dyDescent="0.3">
      <c r="B1959"/>
      <c r="M1959"/>
    </row>
    <row r="1960" spans="2:13" x14ac:dyDescent="0.3">
      <c r="B1960"/>
      <c r="M1960"/>
    </row>
    <row r="1961" spans="2:13" x14ac:dyDescent="0.3">
      <c r="B1961"/>
      <c r="M1961"/>
    </row>
    <row r="1962" spans="2:13" x14ac:dyDescent="0.3">
      <c r="B1962"/>
      <c r="M1962"/>
    </row>
    <row r="1963" spans="2:13" x14ac:dyDescent="0.3">
      <c r="B1963"/>
      <c r="M1963"/>
    </row>
    <row r="1964" spans="2:13" x14ac:dyDescent="0.3">
      <c r="B1964"/>
      <c r="M1964"/>
    </row>
    <row r="1965" spans="2:13" x14ac:dyDescent="0.3">
      <c r="B1965"/>
      <c r="M1965"/>
    </row>
    <row r="1966" spans="2:13" x14ac:dyDescent="0.3">
      <c r="B1966"/>
      <c r="M1966"/>
    </row>
    <row r="1967" spans="2:13" x14ac:dyDescent="0.3">
      <c r="B1967"/>
      <c r="M1967"/>
    </row>
    <row r="1968" spans="2:13" x14ac:dyDescent="0.3">
      <c r="B1968"/>
      <c r="M1968"/>
    </row>
    <row r="1969" spans="2:13" x14ac:dyDescent="0.3">
      <c r="B1969"/>
      <c r="M1969"/>
    </row>
    <row r="1970" spans="2:13" x14ac:dyDescent="0.3">
      <c r="B1970"/>
      <c r="M1970"/>
    </row>
    <row r="1971" spans="2:13" x14ac:dyDescent="0.3">
      <c r="B1971"/>
      <c r="M1971"/>
    </row>
    <row r="1972" spans="2:13" x14ac:dyDescent="0.3">
      <c r="B1972"/>
      <c r="M1972"/>
    </row>
    <row r="1973" spans="2:13" x14ac:dyDescent="0.3">
      <c r="B1973"/>
      <c r="M1973"/>
    </row>
    <row r="1974" spans="2:13" x14ac:dyDescent="0.3">
      <c r="B1974"/>
      <c r="M1974"/>
    </row>
    <row r="1975" spans="2:13" x14ac:dyDescent="0.3">
      <c r="B1975"/>
      <c r="M1975"/>
    </row>
    <row r="1976" spans="2:13" x14ac:dyDescent="0.3">
      <c r="B1976"/>
      <c r="M1976"/>
    </row>
    <row r="1977" spans="2:13" x14ac:dyDescent="0.3">
      <c r="B1977"/>
      <c r="M1977"/>
    </row>
    <row r="1978" spans="2:13" x14ac:dyDescent="0.3">
      <c r="B1978"/>
      <c r="M1978"/>
    </row>
    <row r="1979" spans="2:13" x14ac:dyDescent="0.3">
      <c r="B1979"/>
      <c r="M1979"/>
    </row>
    <row r="1980" spans="2:13" x14ac:dyDescent="0.3">
      <c r="B1980"/>
      <c r="M1980"/>
    </row>
    <row r="1981" spans="2:13" x14ac:dyDescent="0.3">
      <c r="B1981"/>
      <c r="M1981"/>
    </row>
    <row r="1982" spans="2:13" x14ac:dyDescent="0.3">
      <c r="B1982"/>
      <c r="M1982"/>
    </row>
    <row r="1983" spans="2:13" x14ac:dyDescent="0.3">
      <c r="B1983"/>
      <c r="M1983"/>
    </row>
    <row r="1984" spans="2:13" x14ac:dyDescent="0.3">
      <c r="B1984"/>
      <c r="M1984"/>
    </row>
    <row r="1985" spans="2:13" x14ac:dyDescent="0.3">
      <c r="B1985"/>
      <c r="M1985"/>
    </row>
    <row r="1986" spans="2:13" x14ac:dyDescent="0.3">
      <c r="B1986"/>
      <c r="M1986"/>
    </row>
    <row r="1987" spans="2:13" x14ac:dyDescent="0.3">
      <c r="B1987"/>
      <c r="M1987"/>
    </row>
    <row r="1988" spans="2:13" x14ac:dyDescent="0.3">
      <c r="B1988"/>
      <c r="M1988"/>
    </row>
    <row r="1989" spans="2:13" x14ac:dyDescent="0.3">
      <c r="B1989"/>
      <c r="M1989"/>
    </row>
    <row r="1990" spans="2:13" x14ac:dyDescent="0.3">
      <c r="B1990"/>
      <c r="M1990"/>
    </row>
    <row r="1991" spans="2:13" x14ac:dyDescent="0.3">
      <c r="B1991"/>
      <c r="M1991"/>
    </row>
    <row r="1992" spans="2:13" x14ac:dyDescent="0.3">
      <c r="B1992"/>
      <c r="M1992"/>
    </row>
    <row r="1993" spans="2:13" x14ac:dyDescent="0.3">
      <c r="B1993"/>
      <c r="M1993"/>
    </row>
    <row r="1994" spans="2:13" x14ac:dyDescent="0.3">
      <c r="B1994"/>
      <c r="M1994"/>
    </row>
    <row r="1995" spans="2:13" x14ac:dyDescent="0.3">
      <c r="B1995"/>
      <c r="M1995"/>
    </row>
    <row r="1996" spans="2:13" x14ac:dyDescent="0.3">
      <c r="B1996"/>
      <c r="M1996"/>
    </row>
    <row r="1997" spans="2:13" x14ac:dyDescent="0.3">
      <c r="B1997"/>
      <c r="M1997"/>
    </row>
    <row r="1998" spans="2:13" x14ac:dyDescent="0.3">
      <c r="B1998"/>
      <c r="M1998"/>
    </row>
    <row r="1999" spans="2:13" x14ac:dyDescent="0.3">
      <c r="B1999"/>
      <c r="M1999"/>
    </row>
    <row r="2000" spans="2:13" x14ac:dyDescent="0.3">
      <c r="B2000"/>
      <c r="M2000"/>
    </row>
    <row r="2001" spans="2:13" x14ac:dyDescent="0.3">
      <c r="B2001"/>
      <c r="M2001"/>
    </row>
    <row r="2002" spans="2:13" x14ac:dyDescent="0.3">
      <c r="B2002"/>
      <c r="M2002"/>
    </row>
    <row r="2003" spans="2:13" x14ac:dyDescent="0.3">
      <c r="B2003"/>
      <c r="M2003"/>
    </row>
    <row r="2004" spans="2:13" x14ac:dyDescent="0.3">
      <c r="B2004"/>
      <c r="M2004"/>
    </row>
    <row r="2005" spans="2:13" x14ac:dyDescent="0.3">
      <c r="B2005"/>
      <c r="M2005"/>
    </row>
    <row r="2006" spans="2:13" x14ac:dyDescent="0.3">
      <c r="B2006"/>
      <c r="M2006"/>
    </row>
    <row r="2007" spans="2:13" x14ac:dyDescent="0.3">
      <c r="B2007"/>
      <c r="M2007"/>
    </row>
    <row r="2008" spans="2:13" x14ac:dyDescent="0.3">
      <c r="B2008"/>
      <c r="M2008"/>
    </row>
    <row r="2009" spans="2:13" x14ac:dyDescent="0.3">
      <c r="B2009"/>
      <c r="M2009"/>
    </row>
    <row r="2010" spans="2:13" x14ac:dyDescent="0.3">
      <c r="B2010"/>
      <c r="M2010"/>
    </row>
    <row r="2011" spans="2:13" x14ac:dyDescent="0.3">
      <c r="B2011"/>
      <c r="M2011"/>
    </row>
    <row r="2012" spans="2:13" x14ac:dyDescent="0.3">
      <c r="B2012"/>
      <c r="M2012"/>
    </row>
    <row r="2013" spans="2:13" x14ac:dyDescent="0.3">
      <c r="B2013"/>
      <c r="M2013"/>
    </row>
    <row r="2014" spans="2:13" x14ac:dyDescent="0.3">
      <c r="B2014"/>
      <c r="M2014"/>
    </row>
    <row r="2015" spans="2:13" x14ac:dyDescent="0.3">
      <c r="B2015"/>
      <c r="M2015"/>
    </row>
    <row r="2016" spans="2:13" x14ac:dyDescent="0.3">
      <c r="B2016"/>
      <c r="M2016"/>
    </row>
    <row r="2017" spans="2:13" x14ac:dyDescent="0.3">
      <c r="B2017"/>
      <c r="M2017"/>
    </row>
    <row r="2018" spans="2:13" x14ac:dyDescent="0.3">
      <c r="B2018"/>
      <c r="M2018"/>
    </row>
    <row r="2019" spans="2:13" x14ac:dyDescent="0.3">
      <c r="B2019"/>
      <c r="M2019"/>
    </row>
    <row r="2020" spans="2:13" x14ac:dyDescent="0.3">
      <c r="B2020"/>
      <c r="M2020"/>
    </row>
    <row r="2021" spans="2:13" x14ac:dyDescent="0.3">
      <c r="B2021"/>
      <c r="M2021"/>
    </row>
    <row r="2022" spans="2:13" x14ac:dyDescent="0.3">
      <c r="B2022"/>
      <c r="M2022"/>
    </row>
    <row r="2023" spans="2:13" x14ac:dyDescent="0.3">
      <c r="B2023"/>
      <c r="M2023"/>
    </row>
    <row r="2024" spans="2:13" x14ac:dyDescent="0.3">
      <c r="B2024"/>
      <c r="M2024"/>
    </row>
    <row r="2025" spans="2:13" x14ac:dyDescent="0.3">
      <c r="B2025"/>
      <c r="M2025"/>
    </row>
    <row r="2026" spans="2:13" x14ac:dyDescent="0.3">
      <c r="B2026"/>
      <c r="M2026"/>
    </row>
    <row r="2027" spans="2:13" x14ac:dyDescent="0.3">
      <c r="B2027"/>
      <c r="M2027"/>
    </row>
    <row r="2028" spans="2:13" x14ac:dyDescent="0.3">
      <c r="B2028"/>
      <c r="M2028"/>
    </row>
    <row r="2029" spans="2:13" x14ac:dyDescent="0.3">
      <c r="B2029"/>
      <c r="M2029"/>
    </row>
    <row r="2030" spans="2:13" x14ac:dyDescent="0.3">
      <c r="B2030"/>
      <c r="M2030"/>
    </row>
    <row r="2031" spans="2:13" x14ac:dyDescent="0.3">
      <c r="B2031"/>
      <c r="M2031"/>
    </row>
    <row r="2032" spans="2:13" x14ac:dyDescent="0.3">
      <c r="B2032"/>
      <c r="M2032"/>
    </row>
    <row r="2033" spans="2:13" x14ac:dyDescent="0.3">
      <c r="B2033"/>
      <c r="M2033"/>
    </row>
    <row r="2034" spans="2:13" x14ac:dyDescent="0.3">
      <c r="B2034"/>
      <c r="M2034"/>
    </row>
    <row r="2035" spans="2:13" x14ac:dyDescent="0.3">
      <c r="B2035"/>
      <c r="M2035"/>
    </row>
    <row r="2036" spans="2:13" x14ac:dyDescent="0.3">
      <c r="B2036"/>
      <c r="M2036"/>
    </row>
    <row r="2037" spans="2:13" x14ac:dyDescent="0.3">
      <c r="B2037"/>
      <c r="M2037"/>
    </row>
    <row r="2038" spans="2:13" x14ac:dyDescent="0.3">
      <c r="B2038"/>
      <c r="M2038"/>
    </row>
    <row r="2039" spans="2:13" x14ac:dyDescent="0.3">
      <c r="B2039"/>
      <c r="M2039"/>
    </row>
    <row r="2040" spans="2:13" x14ac:dyDescent="0.3">
      <c r="B2040"/>
      <c r="M2040"/>
    </row>
    <row r="2041" spans="2:13" x14ac:dyDescent="0.3">
      <c r="B2041"/>
      <c r="M2041"/>
    </row>
    <row r="2042" spans="2:13" x14ac:dyDescent="0.3">
      <c r="B2042"/>
      <c r="M2042"/>
    </row>
    <row r="2043" spans="2:13" x14ac:dyDescent="0.3">
      <c r="B2043"/>
      <c r="M2043"/>
    </row>
    <row r="2044" spans="2:13" x14ac:dyDescent="0.3">
      <c r="B2044"/>
      <c r="M2044"/>
    </row>
    <row r="2045" spans="2:13" x14ac:dyDescent="0.3">
      <c r="B2045"/>
      <c r="M2045"/>
    </row>
    <row r="2046" spans="2:13" x14ac:dyDescent="0.3">
      <c r="B2046"/>
      <c r="M2046"/>
    </row>
    <row r="2047" spans="2:13" x14ac:dyDescent="0.3">
      <c r="B2047"/>
      <c r="M2047"/>
    </row>
    <row r="2048" spans="2:13" x14ac:dyDescent="0.3">
      <c r="B2048"/>
      <c r="M2048"/>
    </row>
    <row r="2049" spans="2:13" x14ac:dyDescent="0.3">
      <c r="B2049"/>
      <c r="M2049"/>
    </row>
    <row r="2050" spans="2:13" x14ac:dyDescent="0.3">
      <c r="B2050"/>
      <c r="M2050"/>
    </row>
    <row r="2051" spans="2:13" x14ac:dyDescent="0.3">
      <c r="B2051"/>
      <c r="M2051"/>
    </row>
    <row r="2052" spans="2:13" x14ac:dyDescent="0.3">
      <c r="B2052"/>
      <c r="M2052"/>
    </row>
    <row r="2053" spans="2:13" x14ac:dyDescent="0.3">
      <c r="B2053"/>
      <c r="M2053"/>
    </row>
    <row r="2054" spans="2:13" x14ac:dyDescent="0.3">
      <c r="B2054"/>
      <c r="M2054"/>
    </row>
    <row r="2055" spans="2:13" x14ac:dyDescent="0.3">
      <c r="B2055"/>
      <c r="M2055"/>
    </row>
    <row r="2056" spans="2:13" x14ac:dyDescent="0.3">
      <c r="B2056"/>
      <c r="M2056"/>
    </row>
    <row r="2057" spans="2:13" x14ac:dyDescent="0.3">
      <c r="B2057"/>
      <c r="M2057"/>
    </row>
    <row r="2058" spans="2:13" x14ac:dyDescent="0.3">
      <c r="B2058"/>
      <c r="M2058"/>
    </row>
    <row r="2059" spans="2:13" x14ac:dyDescent="0.3">
      <c r="B2059"/>
      <c r="M2059"/>
    </row>
    <row r="2060" spans="2:13" x14ac:dyDescent="0.3">
      <c r="B2060"/>
      <c r="M2060"/>
    </row>
    <row r="2061" spans="2:13" x14ac:dyDescent="0.3">
      <c r="B2061"/>
      <c r="M2061"/>
    </row>
    <row r="2062" spans="2:13" x14ac:dyDescent="0.3">
      <c r="B2062"/>
      <c r="M2062"/>
    </row>
    <row r="2063" spans="2:13" x14ac:dyDescent="0.3">
      <c r="B2063"/>
      <c r="M2063"/>
    </row>
    <row r="2064" spans="2:13" x14ac:dyDescent="0.3">
      <c r="B2064"/>
      <c r="M2064"/>
    </row>
    <row r="2065" spans="2:13" x14ac:dyDescent="0.3">
      <c r="B2065"/>
      <c r="M2065"/>
    </row>
    <row r="2066" spans="2:13" x14ac:dyDescent="0.3">
      <c r="B2066"/>
      <c r="M2066"/>
    </row>
    <row r="2067" spans="2:13" x14ac:dyDescent="0.3">
      <c r="B2067"/>
      <c r="M2067"/>
    </row>
    <row r="2068" spans="2:13" x14ac:dyDescent="0.3">
      <c r="B2068"/>
      <c r="M2068"/>
    </row>
    <row r="2069" spans="2:13" x14ac:dyDescent="0.3">
      <c r="B2069"/>
      <c r="M2069"/>
    </row>
    <row r="2070" spans="2:13" x14ac:dyDescent="0.3">
      <c r="B2070"/>
      <c r="M2070"/>
    </row>
    <row r="2071" spans="2:13" x14ac:dyDescent="0.3">
      <c r="B2071"/>
      <c r="M2071"/>
    </row>
    <row r="2072" spans="2:13" x14ac:dyDescent="0.3">
      <c r="B2072"/>
      <c r="M2072"/>
    </row>
    <row r="2073" spans="2:13" x14ac:dyDescent="0.3">
      <c r="B2073"/>
      <c r="M2073"/>
    </row>
    <row r="2074" spans="2:13" x14ac:dyDescent="0.3">
      <c r="B2074"/>
      <c r="M2074"/>
    </row>
    <row r="2075" spans="2:13" x14ac:dyDescent="0.3">
      <c r="B2075"/>
      <c r="M2075"/>
    </row>
    <row r="2076" spans="2:13" x14ac:dyDescent="0.3">
      <c r="B2076"/>
      <c r="M2076"/>
    </row>
    <row r="2077" spans="2:13" x14ac:dyDescent="0.3">
      <c r="B2077"/>
      <c r="M2077"/>
    </row>
    <row r="2078" spans="2:13" x14ac:dyDescent="0.3">
      <c r="B2078"/>
      <c r="M2078"/>
    </row>
    <row r="2079" spans="2:13" x14ac:dyDescent="0.3">
      <c r="B2079"/>
      <c r="M2079"/>
    </row>
    <row r="2080" spans="2:13" x14ac:dyDescent="0.3">
      <c r="B2080"/>
      <c r="M2080"/>
    </row>
    <row r="2081" spans="2:13" x14ac:dyDescent="0.3">
      <c r="B2081"/>
      <c r="M2081"/>
    </row>
    <row r="2082" spans="2:13" x14ac:dyDescent="0.3">
      <c r="B2082"/>
      <c r="M2082"/>
    </row>
    <row r="2083" spans="2:13" x14ac:dyDescent="0.3">
      <c r="B2083"/>
      <c r="M2083"/>
    </row>
    <row r="2084" spans="2:13" x14ac:dyDescent="0.3">
      <c r="B2084"/>
      <c r="M2084"/>
    </row>
    <row r="2085" spans="2:13" x14ac:dyDescent="0.3">
      <c r="B2085"/>
      <c r="M2085"/>
    </row>
    <row r="2086" spans="2:13" x14ac:dyDescent="0.3">
      <c r="B2086"/>
      <c r="M2086"/>
    </row>
    <row r="2087" spans="2:13" x14ac:dyDescent="0.3">
      <c r="B2087"/>
      <c r="M2087"/>
    </row>
    <row r="2088" spans="2:13" x14ac:dyDescent="0.3">
      <c r="B2088"/>
      <c r="M2088"/>
    </row>
    <row r="2089" spans="2:13" x14ac:dyDescent="0.3">
      <c r="B2089"/>
      <c r="M2089"/>
    </row>
    <row r="2090" spans="2:13" x14ac:dyDescent="0.3">
      <c r="B2090"/>
      <c r="M2090"/>
    </row>
    <row r="2091" spans="2:13" x14ac:dyDescent="0.3">
      <c r="B2091"/>
      <c r="M2091"/>
    </row>
    <row r="2092" spans="2:13" x14ac:dyDescent="0.3">
      <c r="B2092"/>
      <c r="M2092"/>
    </row>
    <row r="2093" spans="2:13" x14ac:dyDescent="0.3">
      <c r="B2093"/>
      <c r="M2093"/>
    </row>
    <row r="2094" spans="2:13" x14ac:dyDescent="0.3">
      <c r="B2094"/>
      <c r="M2094"/>
    </row>
    <row r="2095" spans="2:13" x14ac:dyDescent="0.3">
      <c r="B2095"/>
      <c r="M2095"/>
    </row>
    <row r="2096" spans="2:13" x14ac:dyDescent="0.3">
      <c r="B2096"/>
      <c r="M2096"/>
    </row>
    <row r="2097" spans="2:13" x14ac:dyDescent="0.3">
      <c r="B2097"/>
      <c r="M2097"/>
    </row>
    <row r="2098" spans="2:13" x14ac:dyDescent="0.3">
      <c r="B2098"/>
      <c r="M2098"/>
    </row>
    <row r="2099" spans="2:13" x14ac:dyDescent="0.3">
      <c r="B2099"/>
      <c r="M2099"/>
    </row>
    <row r="2100" spans="2:13" x14ac:dyDescent="0.3">
      <c r="B2100"/>
      <c r="M2100"/>
    </row>
    <row r="2101" spans="2:13" x14ac:dyDescent="0.3">
      <c r="B2101"/>
      <c r="M2101"/>
    </row>
    <row r="2102" spans="2:13" x14ac:dyDescent="0.3">
      <c r="B2102"/>
      <c r="M2102"/>
    </row>
    <row r="2103" spans="2:13" x14ac:dyDescent="0.3">
      <c r="B2103"/>
      <c r="M2103"/>
    </row>
    <row r="2104" spans="2:13" x14ac:dyDescent="0.3">
      <c r="B2104"/>
      <c r="M2104"/>
    </row>
    <row r="2105" spans="2:13" x14ac:dyDescent="0.3">
      <c r="B2105"/>
      <c r="M2105"/>
    </row>
    <row r="2106" spans="2:13" x14ac:dyDescent="0.3">
      <c r="B2106"/>
      <c r="M2106"/>
    </row>
    <row r="2107" spans="2:13" x14ac:dyDescent="0.3">
      <c r="B2107"/>
      <c r="M2107"/>
    </row>
    <row r="2108" spans="2:13" x14ac:dyDescent="0.3">
      <c r="B2108"/>
      <c r="M2108"/>
    </row>
    <row r="2109" spans="2:13" x14ac:dyDescent="0.3">
      <c r="B2109"/>
      <c r="M2109"/>
    </row>
    <row r="2110" spans="2:13" x14ac:dyDescent="0.3">
      <c r="B2110"/>
      <c r="M2110"/>
    </row>
    <row r="2111" spans="2:13" x14ac:dyDescent="0.3">
      <c r="B2111"/>
      <c r="M2111"/>
    </row>
    <row r="2112" spans="2:13" x14ac:dyDescent="0.3">
      <c r="B2112"/>
      <c r="M2112"/>
    </row>
    <row r="2113" spans="2:13" x14ac:dyDescent="0.3">
      <c r="B2113"/>
      <c r="M2113"/>
    </row>
    <row r="2114" spans="2:13" x14ac:dyDescent="0.3">
      <c r="B2114"/>
      <c r="M2114"/>
    </row>
    <row r="2115" spans="2:13" x14ac:dyDescent="0.3">
      <c r="B2115"/>
      <c r="M2115"/>
    </row>
    <row r="2116" spans="2:13" x14ac:dyDescent="0.3">
      <c r="B2116"/>
      <c r="M2116"/>
    </row>
    <row r="2117" spans="2:13" x14ac:dyDescent="0.3">
      <c r="B2117"/>
      <c r="M2117"/>
    </row>
    <row r="2118" spans="2:13" x14ac:dyDescent="0.3">
      <c r="B2118"/>
      <c r="M2118"/>
    </row>
    <row r="2119" spans="2:13" x14ac:dyDescent="0.3">
      <c r="B2119"/>
      <c r="M2119"/>
    </row>
    <row r="2120" spans="2:13" x14ac:dyDescent="0.3">
      <c r="B2120"/>
      <c r="M2120"/>
    </row>
    <row r="2121" spans="2:13" x14ac:dyDescent="0.3">
      <c r="B2121"/>
      <c r="M2121"/>
    </row>
    <row r="2122" spans="2:13" x14ac:dyDescent="0.3">
      <c r="B2122"/>
      <c r="M2122"/>
    </row>
    <row r="2123" spans="2:13" x14ac:dyDescent="0.3">
      <c r="B2123"/>
      <c r="M2123"/>
    </row>
    <row r="2124" spans="2:13" x14ac:dyDescent="0.3">
      <c r="B2124"/>
      <c r="M2124"/>
    </row>
    <row r="2125" spans="2:13" x14ac:dyDescent="0.3">
      <c r="B2125"/>
      <c r="M2125"/>
    </row>
    <row r="2126" spans="2:13" x14ac:dyDescent="0.3">
      <c r="B2126"/>
      <c r="M2126"/>
    </row>
    <row r="2127" spans="2:13" x14ac:dyDescent="0.3">
      <c r="B2127"/>
      <c r="M2127"/>
    </row>
    <row r="2128" spans="2:13" x14ac:dyDescent="0.3">
      <c r="B2128"/>
      <c r="M2128"/>
    </row>
    <row r="2129" spans="2:13" x14ac:dyDescent="0.3">
      <c r="B2129"/>
      <c r="M2129"/>
    </row>
    <row r="2130" spans="2:13" x14ac:dyDescent="0.3">
      <c r="B2130"/>
      <c r="M2130"/>
    </row>
    <row r="2131" spans="2:13" x14ac:dyDescent="0.3">
      <c r="B2131"/>
      <c r="M2131"/>
    </row>
    <row r="2132" spans="2:13" x14ac:dyDescent="0.3">
      <c r="B2132"/>
      <c r="M2132"/>
    </row>
    <row r="2133" spans="2:13" x14ac:dyDescent="0.3">
      <c r="B2133"/>
      <c r="M2133"/>
    </row>
    <row r="2134" spans="2:13" x14ac:dyDescent="0.3">
      <c r="B2134"/>
      <c r="M2134"/>
    </row>
    <row r="2135" spans="2:13" x14ac:dyDescent="0.3">
      <c r="B2135"/>
      <c r="M2135"/>
    </row>
    <row r="2136" spans="2:13" x14ac:dyDescent="0.3">
      <c r="B2136"/>
      <c r="M2136"/>
    </row>
    <row r="2137" spans="2:13" x14ac:dyDescent="0.3">
      <c r="B2137"/>
      <c r="M2137"/>
    </row>
    <row r="2138" spans="2:13" x14ac:dyDescent="0.3">
      <c r="B2138"/>
      <c r="M2138"/>
    </row>
    <row r="2139" spans="2:13" x14ac:dyDescent="0.3">
      <c r="B2139"/>
      <c r="M2139"/>
    </row>
    <row r="2140" spans="2:13" x14ac:dyDescent="0.3">
      <c r="B2140"/>
      <c r="M2140"/>
    </row>
    <row r="2141" spans="2:13" x14ac:dyDescent="0.3">
      <c r="B2141"/>
      <c r="M2141"/>
    </row>
    <row r="2142" spans="2:13" x14ac:dyDescent="0.3">
      <c r="B2142"/>
      <c r="M2142"/>
    </row>
    <row r="2143" spans="2:13" x14ac:dyDescent="0.3">
      <c r="B2143"/>
      <c r="M2143"/>
    </row>
    <row r="2144" spans="2:13" x14ac:dyDescent="0.3">
      <c r="B2144"/>
      <c r="M2144"/>
    </row>
    <row r="2145" spans="2:13" x14ac:dyDescent="0.3">
      <c r="B2145"/>
      <c r="M2145"/>
    </row>
    <row r="2146" spans="2:13" x14ac:dyDescent="0.3">
      <c r="B2146"/>
      <c r="M2146"/>
    </row>
    <row r="2147" spans="2:13" x14ac:dyDescent="0.3">
      <c r="B2147"/>
      <c r="M2147"/>
    </row>
    <row r="2148" spans="2:13" x14ac:dyDescent="0.3">
      <c r="B2148"/>
      <c r="M2148"/>
    </row>
    <row r="2149" spans="2:13" x14ac:dyDescent="0.3">
      <c r="B2149"/>
      <c r="M2149"/>
    </row>
    <row r="2150" spans="2:13" x14ac:dyDescent="0.3">
      <c r="B2150"/>
      <c r="M2150"/>
    </row>
    <row r="2151" spans="2:13" x14ac:dyDescent="0.3">
      <c r="B2151"/>
      <c r="M2151"/>
    </row>
    <row r="2152" spans="2:13" x14ac:dyDescent="0.3">
      <c r="B2152"/>
      <c r="M2152"/>
    </row>
    <row r="2153" spans="2:13" x14ac:dyDescent="0.3">
      <c r="B2153"/>
      <c r="M2153"/>
    </row>
    <row r="2154" spans="2:13" x14ac:dyDescent="0.3">
      <c r="B2154"/>
      <c r="M2154"/>
    </row>
    <row r="2155" spans="2:13" x14ac:dyDescent="0.3">
      <c r="B2155"/>
      <c r="M2155"/>
    </row>
    <row r="2156" spans="2:13" x14ac:dyDescent="0.3">
      <c r="B2156"/>
      <c r="M2156"/>
    </row>
    <row r="2157" spans="2:13" x14ac:dyDescent="0.3">
      <c r="B2157"/>
      <c r="M2157"/>
    </row>
    <row r="2158" spans="2:13" x14ac:dyDescent="0.3">
      <c r="B2158"/>
      <c r="M2158"/>
    </row>
    <row r="2159" spans="2:13" x14ac:dyDescent="0.3">
      <c r="B2159"/>
      <c r="M2159"/>
    </row>
    <row r="2160" spans="2:13" x14ac:dyDescent="0.3">
      <c r="B2160"/>
      <c r="M2160"/>
    </row>
    <row r="2161" spans="2:13" x14ac:dyDescent="0.3">
      <c r="B2161"/>
      <c r="M2161"/>
    </row>
    <row r="2162" spans="2:13" x14ac:dyDescent="0.3">
      <c r="B2162"/>
      <c r="M2162"/>
    </row>
    <row r="2163" spans="2:13" x14ac:dyDescent="0.3">
      <c r="B2163"/>
      <c r="M2163"/>
    </row>
    <row r="2164" spans="2:13" x14ac:dyDescent="0.3">
      <c r="B2164"/>
      <c r="M2164"/>
    </row>
    <row r="2165" spans="2:13" x14ac:dyDescent="0.3">
      <c r="B2165"/>
      <c r="M2165"/>
    </row>
    <row r="2166" spans="2:13" x14ac:dyDescent="0.3">
      <c r="B2166"/>
      <c r="M2166"/>
    </row>
    <row r="2167" spans="2:13" x14ac:dyDescent="0.3">
      <c r="B2167"/>
      <c r="M2167"/>
    </row>
    <row r="2168" spans="2:13" x14ac:dyDescent="0.3">
      <c r="B2168"/>
      <c r="M2168"/>
    </row>
    <row r="2169" spans="2:13" x14ac:dyDescent="0.3">
      <c r="B2169"/>
      <c r="M2169"/>
    </row>
    <row r="2170" spans="2:13" x14ac:dyDescent="0.3">
      <c r="B2170"/>
      <c r="M2170"/>
    </row>
    <row r="2171" spans="2:13" x14ac:dyDescent="0.3">
      <c r="B2171"/>
      <c r="M2171"/>
    </row>
    <row r="2172" spans="2:13" x14ac:dyDescent="0.3">
      <c r="B2172"/>
      <c r="M2172"/>
    </row>
    <row r="2173" spans="2:13" x14ac:dyDescent="0.3">
      <c r="B2173"/>
      <c r="M2173"/>
    </row>
    <row r="2174" spans="2:13" x14ac:dyDescent="0.3">
      <c r="B2174"/>
      <c r="M2174"/>
    </row>
    <row r="2175" spans="2:13" x14ac:dyDescent="0.3">
      <c r="B2175"/>
      <c r="M2175"/>
    </row>
    <row r="2176" spans="2:13" x14ac:dyDescent="0.3">
      <c r="B2176"/>
      <c r="M2176"/>
    </row>
    <row r="2177" spans="2:13" x14ac:dyDescent="0.3">
      <c r="B2177"/>
      <c r="M2177"/>
    </row>
    <row r="2178" spans="2:13" x14ac:dyDescent="0.3">
      <c r="B2178"/>
      <c r="M2178"/>
    </row>
    <row r="2179" spans="2:13" x14ac:dyDescent="0.3">
      <c r="B2179"/>
      <c r="M2179"/>
    </row>
    <row r="2180" spans="2:13" x14ac:dyDescent="0.3">
      <c r="B2180"/>
      <c r="M2180"/>
    </row>
    <row r="2181" spans="2:13" x14ac:dyDescent="0.3">
      <c r="B2181"/>
      <c r="M2181"/>
    </row>
    <row r="2182" spans="2:13" x14ac:dyDescent="0.3">
      <c r="B2182"/>
      <c r="M2182"/>
    </row>
    <row r="2183" spans="2:13" x14ac:dyDescent="0.3">
      <c r="B2183"/>
      <c r="M2183"/>
    </row>
    <row r="2184" spans="2:13" x14ac:dyDescent="0.3">
      <c r="B2184"/>
      <c r="M2184"/>
    </row>
    <row r="2185" spans="2:13" x14ac:dyDescent="0.3">
      <c r="B2185"/>
      <c r="M2185"/>
    </row>
    <row r="2186" spans="2:13" x14ac:dyDescent="0.3">
      <c r="B2186"/>
      <c r="M2186"/>
    </row>
    <row r="2187" spans="2:13" x14ac:dyDescent="0.3">
      <c r="B2187"/>
      <c r="M2187"/>
    </row>
    <row r="2188" spans="2:13" x14ac:dyDescent="0.3">
      <c r="B2188"/>
      <c r="M2188"/>
    </row>
    <row r="2189" spans="2:13" x14ac:dyDescent="0.3">
      <c r="B2189"/>
      <c r="M2189"/>
    </row>
    <row r="2190" spans="2:13" x14ac:dyDescent="0.3">
      <c r="B2190"/>
      <c r="M2190"/>
    </row>
    <row r="2191" spans="2:13" x14ac:dyDescent="0.3">
      <c r="B2191"/>
      <c r="M2191"/>
    </row>
    <row r="2192" spans="2:13" x14ac:dyDescent="0.3">
      <c r="B2192"/>
      <c r="M2192"/>
    </row>
    <row r="2193" spans="2:13" x14ac:dyDescent="0.3">
      <c r="B2193"/>
      <c r="M2193"/>
    </row>
    <row r="2194" spans="2:13" x14ac:dyDescent="0.3">
      <c r="B2194"/>
      <c r="M2194"/>
    </row>
    <row r="2195" spans="2:13" x14ac:dyDescent="0.3">
      <c r="B2195"/>
      <c r="M2195"/>
    </row>
    <row r="2196" spans="2:13" x14ac:dyDescent="0.3">
      <c r="B2196"/>
      <c r="M2196"/>
    </row>
    <row r="2197" spans="2:13" x14ac:dyDescent="0.3">
      <c r="B2197"/>
      <c r="M2197"/>
    </row>
    <row r="2198" spans="2:13" x14ac:dyDescent="0.3">
      <c r="B2198"/>
      <c r="M2198"/>
    </row>
    <row r="2199" spans="2:13" x14ac:dyDescent="0.3">
      <c r="B2199"/>
      <c r="M2199"/>
    </row>
    <row r="2200" spans="2:13" x14ac:dyDescent="0.3">
      <c r="B2200"/>
      <c r="M2200"/>
    </row>
    <row r="2201" spans="2:13" x14ac:dyDescent="0.3">
      <c r="B2201"/>
      <c r="M2201"/>
    </row>
    <row r="2202" spans="2:13" x14ac:dyDescent="0.3">
      <c r="B2202"/>
      <c r="M2202"/>
    </row>
    <row r="2203" spans="2:13" x14ac:dyDescent="0.3">
      <c r="B2203"/>
      <c r="M2203"/>
    </row>
    <row r="2204" spans="2:13" x14ac:dyDescent="0.3">
      <c r="B2204"/>
      <c r="M2204"/>
    </row>
    <row r="2205" spans="2:13" x14ac:dyDescent="0.3">
      <c r="B2205"/>
      <c r="M2205"/>
    </row>
    <row r="2206" spans="2:13" x14ac:dyDescent="0.3">
      <c r="B2206"/>
      <c r="M2206"/>
    </row>
    <row r="2207" spans="2:13" x14ac:dyDescent="0.3">
      <c r="B2207"/>
      <c r="M2207"/>
    </row>
    <row r="2208" spans="2:13" x14ac:dyDescent="0.3">
      <c r="B2208"/>
      <c r="M2208"/>
    </row>
    <row r="2209" spans="2:13" x14ac:dyDescent="0.3">
      <c r="B2209"/>
      <c r="M2209"/>
    </row>
    <row r="2210" spans="2:13" x14ac:dyDescent="0.3">
      <c r="B2210"/>
      <c r="M2210"/>
    </row>
    <row r="2211" spans="2:13" x14ac:dyDescent="0.3">
      <c r="B2211"/>
      <c r="M2211"/>
    </row>
    <row r="2212" spans="2:13" x14ac:dyDescent="0.3">
      <c r="B2212"/>
      <c r="M2212"/>
    </row>
    <row r="2213" spans="2:13" x14ac:dyDescent="0.3">
      <c r="B2213"/>
      <c r="M2213"/>
    </row>
    <row r="2214" spans="2:13" x14ac:dyDescent="0.3">
      <c r="B2214"/>
      <c r="M2214"/>
    </row>
    <row r="2215" spans="2:13" x14ac:dyDescent="0.3">
      <c r="B2215"/>
      <c r="M2215"/>
    </row>
    <row r="2216" spans="2:13" x14ac:dyDescent="0.3">
      <c r="B2216"/>
      <c r="M2216"/>
    </row>
    <row r="2217" spans="2:13" x14ac:dyDescent="0.3">
      <c r="B2217"/>
      <c r="M2217"/>
    </row>
    <row r="2218" spans="2:13" x14ac:dyDescent="0.3">
      <c r="B2218"/>
      <c r="M2218"/>
    </row>
    <row r="2219" spans="2:13" x14ac:dyDescent="0.3">
      <c r="B2219"/>
      <c r="M2219"/>
    </row>
    <row r="2220" spans="2:13" x14ac:dyDescent="0.3">
      <c r="B2220"/>
      <c r="M2220"/>
    </row>
    <row r="2221" spans="2:13" x14ac:dyDescent="0.3">
      <c r="B2221"/>
      <c r="M2221"/>
    </row>
    <row r="2222" spans="2:13" x14ac:dyDescent="0.3">
      <c r="B2222"/>
      <c r="M2222"/>
    </row>
    <row r="2223" spans="2:13" x14ac:dyDescent="0.3">
      <c r="B2223"/>
      <c r="M2223"/>
    </row>
    <row r="2224" spans="2:13" x14ac:dyDescent="0.3">
      <c r="B2224"/>
      <c r="M2224"/>
    </row>
    <row r="2225" spans="2:13" x14ac:dyDescent="0.3">
      <c r="B2225"/>
      <c r="M2225"/>
    </row>
    <row r="2226" spans="2:13" x14ac:dyDescent="0.3">
      <c r="B2226"/>
      <c r="M2226"/>
    </row>
    <row r="2227" spans="2:13" x14ac:dyDescent="0.3">
      <c r="B2227"/>
      <c r="M2227"/>
    </row>
    <row r="2228" spans="2:13" x14ac:dyDescent="0.3">
      <c r="B2228"/>
      <c r="M2228"/>
    </row>
    <row r="2229" spans="2:13" x14ac:dyDescent="0.3">
      <c r="B2229"/>
      <c r="M2229"/>
    </row>
    <row r="2230" spans="2:13" x14ac:dyDescent="0.3">
      <c r="B2230"/>
      <c r="M2230"/>
    </row>
    <row r="2231" spans="2:13" x14ac:dyDescent="0.3">
      <c r="B2231"/>
      <c r="M2231"/>
    </row>
    <row r="2232" spans="2:13" x14ac:dyDescent="0.3">
      <c r="B2232"/>
      <c r="M2232"/>
    </row>
    <row r="2233" spans="2:13" x14ac:dyDescent="0.3">
      <c r="B2233"/>
      <c r="M2233"/>
    </row>
    <row r="2234" spans="2:13" x14ac:dyDescent="0.3">
      <c r="B2234"/>
      <c r="M2234"/>
    </row>
    <row r="2235" spans="2:13" x14ac:dyDescent="0.3">
      <c r="B2235"/>
      <c r="M2235"/>
    </row>
    <row r="2236" spans="2:13" x14ac:dyDescent="0.3">
      <c r="B2236"/>
      <c r="M2236"/>
    </row>
    <row r="2237" spans="2:13" x14ac:dyDescent="0.3">
      <c r="B2237"/>
      <c r="M2237"/>
    </row>
    <row r="2238" spans="2:13" x14ac:dyDescent="0.3">
      <c r="B2238"/>
      <c r="M2238"/>
    </row>
    <row r="2239" spans="2:13" x14ac:dyDescent="0.3">
      <c r="B2239"/>
      <c r="M2239"/>
    </row>
    <row r="2240" spans="2:13" x14ac:dyDescent="0.3">
      <c r="B2240"/>
      <c r="M2240"/>
    </row>
    <row r="2241" spans="2:13" x14ac:dyDescent="0.3">
      <c r="B2241"/>
      <c r="M2241"/>
    </row>
    <row r="2242" spans="2:13" x14ac:dyDescent="0.3">
      <c r="B2242"/>
      <c r="M2242"/>
    </row>
    <row r="2243" spans="2:13" x14ac:dyDescent="0.3">
      <c r="B2243"/>
      <c r="M2243"/>
    </row>
    <row r="2244" spans="2:13" x14ac:dyDescent="0.3">
      <c r="B2244"/>
      <c r="M2244"/>
    </row>
    <row r="2245" spans="2:13" x14ac:dyDescent="0.3">
      <c r="B2245"/>
      <c r="M2245"/>
    </row>
    <row r="2246" spans="2:13" x14ac:dyDescent="0.3">
      <c r="B2246"/>
      <c r="M2246"/>
    </row>
    <row r="2247" spans="2:13" x14ac:dyDescent="0.3">
      <c r="B2247"/>
      <c r="M2247"/>
    </row>
    <row r="2248" spans="2:13" x14ac:dyDescent="0.3">
      <c r="B2248"/>
      <c r="M2248"/>
    </row>
    <row r="2249" spans="2:13" x14ac:dyDescent="0.3">
      <c r="B2249"/>
      <c r="M2249"/>
    </row>
    <row r="2250" spans="2:13" x14ac:dyDescent="0.3">
      <c r="B2250"/>
      <c r="M2250"/>
    </row>
    <row r="2251" spans="2:13" x14ac:dyDescent="0.3">
      <c r="B2251"/>
      <c r="M2251"/>
    </row>
    <row r="2252" spans="2:13" x14ac:dyDescent="0.3">
      <c r="B2252"/>
      <c r="M2252"/>
    </row>
    <row r="2253" spans="2:13" x14ac:dyDescent="0.3">
      <c r="B2253"/>
      <c r="M2253"/>
    </row>
    <row r="2254" spans="2:13" x14ac:dyDescent="0.3">
      <c r="B2254"/>
      <c r="M2254"/>
    </row>
    <row r="2255" spans="2:13" x14ac:dyDescent="0.3">
      <c r="B2255"/>
      <c r="M2255"/>
    </row>
    <row r="2256" spans="2:13" x14ac:dyDescent="0.3">
      <c r="B2256"/>
      <c r="M2256"/>
    </row>
    <row r="2257" spans="2:13" x14ac:dyDescent="0.3">
      <c r="B2257"/>
      <c r="M2257"/>
    </row>
    <row r="2258" spans="2:13" x14ac:dyDescent="0.3">
      <c r="B2258"/>
      <c r="M2258"/>
    </row>
    <row r="2259" spans="2:13" x14ac:dyDescent="0.3">
      <c r="B2259"/>
      <c r="M2259"/>
    </row>
    <row r="2260" spans="2:13" x14ac:dyDescent="0.3">
      <c r="B2260"/>
      <c r="M2260"/>
    </row>
    <row r="2261" spans="2:13" x14ac:dyDescent="0.3">
      <c r="B2261"/>
      <c r="M2261"/>
    </row>
    <row r="2262" spans="2:13" x14ac:dyDescent="0.3">
      <c r="B2262"/>
      <c r="M2262"/>
    </row>
    <row r="2263" spans="2:13" x14ac:dyDescent="0.3">
      <c r="B2263"/>
      <c r="M2263"/>
    </row>
    <row r="2264" spans="2:13" x14ac:dyDescent="0.3">
      <c r="B2264"/>
      <c r="M2264"/>
    </row>
    <row r="2265" spans="2:13" x14ac:dyDescent="0.3">
      <c r="B2265"/>
      <c r="M2265"/>
    </row>
    <row r="2266" spans="2:13" x14ac:dyDescent="0.3">
      <c r="B2266"/>
      <c r="M2266"/>
    </row>
    <row r="2267" spans="2:13" x14ac:dyDescent="0.3">
      <c r="B2267"/>
      <c r="M2267"/>
    </row>
    <row r="2268" spans="2:13" x14ac:dyDescent="0.3">
      <c r="B2268"/>
      <c r="M2268"/>
    </row>
    <row r="2269" spans="2:13" x14ac:dyDescent="0.3">
      <c r="B2269"/>
      <c r="M2269"/>
    </row>
    <row r="2270" spans="2:13" x14ac:dyDescent="0.3">
      <c r="B2270"/>
      <c r="M2270"/>
    </row>
    <row r="2271" spans="2:13" x14ac:dyDescent="0.3">
      <c r="B2271"/>
      <c r="M2271"/>
    </row>
    <row r="2272" spans="2:13" x14ac:dyDescent="0.3">
      <c r="B2272"/>
      <c r="M2272"/>
    </row>
    <row r="2273" spans="2:13" x14ac:dyDescent="0.3">
      <c r="B2273"/>
      <c r="M2273"/>
    </row>
    <row r="2274" spans="2:13" x14ac:dyDescent="0.3">
      <c r="B2274"/>
      <c r="M2274"/>
    </row>
    <row r="2275" spans="2:13" x14ac:dyDescent="0.3">
      <c r="B2275"/>
      <c r="M2275"/>
    </row>
    <row r="2276" spans="2:13" x14ac:dyDescent="0.3">
      <c r="B2276"/>
      <c r="M2276"/>
    </row>
    <row r="2277" spans="2:13" x14ac:dyDescent="0.3">
      <c r="B2277"/>
      <c r="M2277"/>
    </row>
    <row r="2278" spans="2:13" x14ac:dyDescent="0.3">
      <c r="B2278"/>
      <c r="M2278"/>
    </row>
    <row r="2279" spans="2:13" x14ac:dyDescent="0.3">
      <c r="B2279"/>
      <c r="M2279"/>
    </row>
    <row r="2280" spans="2:13" x14ac:dyDescent="0.3">
      <c r="B2280"/>
      <c r="M2280"/>
    </row>
    <row r="2281" spans="2:13" x14ac:dyDescent="0.3">
      <c r="B2281"/>
      <c r="M2281"/>
    </row>
    <row r="2282" spans="2:13" x14ac:dyDescent="0.3">
      <c r="B2282"/>
      <c r="M2282"/>
    </row>
    <row r="2283" spans="2:13" x14ac:dyDescent="0.3">
      <c r="B2283"/>
      <c r="M2283"/>
    </row>
    <row r="2284" spans="2:13" x14ac:dyDescent="0.3">
      <c r="B2284"/>
      <c r="M2284"/>
    </row>
    <row r="2285" spans="2:13" x14ac:dyDescent="0.3">
      <c r="B2285"/>
      <c r="M2285"/>
    </row>
    <row r="2286" spans="2:13" x14ac:dyDescent="0.3">
      <c r="B2286"/>
      <c r="M2286"/>
    </row>
    <row r="2287" spans="2:13" x14ac:dyDescent="0.3">
      <c r="B2287"/>
      <c r="M2287"/>
    </row>
    <row r="2288" spans="2:13" x14ac:dyDescent="0.3">
      <c r="B2288"/>
      <c r="M2288"/>
    </row>
    <row r="2289" spans="2:13" x14ac:dyDescent="0.3">
      <c r="B2289"/>
      <c r="M2289"/>
    </row>
    <row r="2290" spans="2:13" x14ac:dyDescent="0.3">
      <c r="B2290"/>
      <c r="M2290"/>
    </row>
    <row r="2291" spans="2:13" x14ac:dyDescent="0.3">
      <c r="B2291"/>
      <c r="M2291"/>
    </row>
    <row r="2292" spans="2:13" x14ac:dyDescent="0.3">
      <c r="B2292"/>
      <c r="M2292"/>
    </row>
    <row r="2293" spans="2:13" x14ac:dyDescent="0.3">
      <c r="B2293"/>
      <c r="M2293"/>
    </row>
    <row r="2294" spans="2:13" x14ac:dyDescent="0.3">
      <c r="B2294"/>
      <c r="M2294"/>
    </row>
    <row r="2295" spans="2:13" x14ac:dyDescent="0.3">
      <c r="B2295"/>
      <c r="M2295"/>
    </row>
    <row r="2296" spans="2:13" x14ac:dyDescent="0.3">
      <c r="B2296"/>
      <c r="M2296"/>
    </row>
    <row r="2297" spans="2:13" x14ac:dyDescent="0.3">
      <c r="B2297"/>
      <c r="M2297"/>
    </row>
    <row r="2298" spans="2:13" x14ac:dyDescent="0.3">
      <c r="B2298"/>
      <c r="M2298"/>
    </row>
    <row r="2299" spans="2:13" x14ac:dyDescent="0.3">
      <c r="B2299"/>
      <c r="M2299"/>
    </row>
    <row r="2300" spans="2:13" x14ac:dyDescent="0.3">
      <c r="B2300"/>
      <c r="M2300"/>
    </row>
    <row r="2301" spans="2:13" x14ac:dyDescent="0.3">
      <c r="B2301"/>
      <c r="M2301"/>
    </row>
    <row r="2302" spans="2:13" x14ac:dyDescent="0.3">
      <c r="B2302"/>
      <c r="M2302"/>
    </row>
    <row r="2303" spans="2:13" x14ac:dyDescent="0.3">
      <c r="B2303"/>
      <c r="M2303"/>
    </row>
    <row r="2304" spans="2:13" x14ac:dyDescent="0.3">
      <c r="B2304"/>
      <c r="M2304"/>
    </row>
    <row r="2305" spans="2:13" x14ac:dyDescent="0.3">
      <c r="B2305"/>
      <c r="M2305"/>
    </row>
    <row r="2306" spans="2:13" x14ac:dyDescent="0.3">
      <c r="B2306"/>
      <c r="M2306"/>
    </row>
    <row r="2307" spans="2:13" x14ac:dyDescent="0.3">
      <c r="B2307"/>
      <c r="M2307"/>
    </row>
    <row r="2308" spans="2:13" x14ac:dyDescent="0.3">
      <c r="B2308"/>
      <c r="M2308"/>
    </row>
    <row r="2309" spans="2:13" x14ac:dyDescent="0.3">
      <c r="B2309"/>
      <c r="M2309"/>
    </row>
    <row r="2310" spans="2:13" x14ac:dyDescent="0.3">
      <c r="B2310"/>
      <c r="M2310"/>
    </row>
    <row r="2311" spans="2:13" x14ac:dyDescent="0.3">
      <c r="B2311"/>
      <c r="M2311"/>
    </row>
    <row r="2312" spans="2:13" x14ac:dyDescent="0.3">
      <c r="B2312"/>
      <c r="M2312"/>
    </row>
    <row r="2313" spans="2:13" x14ac:dyDescent="0.3">
      <c r="B2313"/>
      <c r="M2313"/>
    </row>
    <row r="2314" spans="2:13" x14ac:dyDescent="0.3">
      <c r="B2314"/>
      <c r="M2314"/>
    </row>
    <row r="2315" spans="2:13" x14ac:dyDescent="0.3">
      <c r="B2315"/>
      <c r="M2315"/>
    </row>
    <row r="2316" spans="2:13" x14ac:dyDescent="0.3">
      <c r="B2316"/>
      <c r="M2316"/>
    </row>
    <row r="2317" spans="2:13" x14ac:dyDescent="0.3">
      <c r="B2317"/>
      <c r="M2317"/>
    </row>
    <row r="2318" spans="2:13" x14ac:dyDescent="0.3">
      <c r="B2318"/>
      <c r="M2318"/>
    </row>
    <row r="2319" spans="2:13" x14ac:dyDescent="0.3">
      <c r="B2319"/>
      <c r="M2319"/>
    </row>
    <row r="2320" spans="2:13" x14ac:dyDescent="0.3">
      <c r="B2320"/>
      <c r="M2320"/>
    </row>
    <row r="2321" spans="2:13" x14ac:dyDescent="0.3">
      <c r="B2321"/>
      <c r="M2321"/>
    </row>
    <row r="2322" spans="2:13" x14ac:dyDescent="0.3">
      <c r="B2322"/>
      <c r="M2322"/>
    </row>
    <row r="2323" spans="2:13" x14ac:dyDescent="0.3">
      <c r="B2323"/>
      <c r="M2323"/>
    </row>
    <row r="2324" spans="2:13" x14ac:dyDescent="0.3">
      <c r="B2324"/>
      <c r="M2324"/>
    </row>
    <row r="2325" spans="2:13" x14ac:dyDescent="0.3">
      <c r="B2325"/>
      <c r="M2325"/>
    </row>
    <row r="2326" spans="2:13" x14ac:dyDescent="0.3">
      <c r="B2326"/>
      <c r="M2326"/>
    </row>
    <row r="2327" spans="2:13" x14ac:dyDescent="0.3">
      <c r="B2327"/>
      <c r="M2327"/>
    </row>
    <row r="2328" spans="2:13" x14ac:dyDescent="0.3">
      <c r="B2328"/>
      <c r="M2328"/>
    </row>
    <row r="2329" spans="2:13" x14ac:dyDescent="0.3">
      <c r="B2329"/>
      <c r="M2329"/>
    </row>
    <row r="2330" spans="2:13" x14ac:dyDescent="0.3">
      <c r="B2330"/>
      <c r="M2330"/>
    </row>
    <row r="2331" spans="2:13" x14ac:dyDescent="0.3">
      <c r="B2331"/>
      <c r="M2331"/>
    </row>
    <row r="2332" spans="2:13" x14ac:dyDescent="0.3">
      <c r="B2332"/>
      <c r="M2332"/>
    </row>
    <row r="2333" spans="2:13" x14ac:dyDescent="0.3">
      <c r="B2333"/>
      <c r="M2333"/>
    </row>
    <row r="2334" spans="2:13" x14ac:dyDescent="0.3">
      <c r="B2334"/>
      <c r="M2334"/>
    </row>
    <row r="2335" spans="2:13" x14ac:dyDescent="0.3">
      <c r="B2335"/>
      <c r="M2335"/>
    </row>
    <row r="2336" spans="2:13" x14ac:dyDescent="0.3">
      <c r="B2336"/>
      <c r="M2336"/>
    </row>
    <row r="2337" spans="2:13" x14ac:dyDescent="0.3">
      <c r="B2337"/>
      <c r="M2337"/>
    </row>
    <row r="2338" spans="2:13" x14ac:dyDescent="0.3">
      <c r="B2338"/>
      <c r="M2338"/>
    </row>
    <row r="2339" spans="2:13" x14ac:dyDescent="0.3">
      <c r="B2339"/>
      <c r="M2339"/>
    </row>
    <row r="2340" spans="2:13" x14ac:dyDescent="0.3">
      <c r="B2340"/>
      <c r="M2340"/>
    </row>
    <row r="2341" spans="2:13" x14ac:dyDescent="0.3">
      <c r="B2341"/>
      <c r="M2341"/>
    </row>
    <row r="2342" spans="2:13" x14ac:dyDescent="0.3">
      <c r="B2342"/>
      <c r="M2342"/>
    </row>
    <row r="2343" spans="2:13" x14ac:dyDescent="0.3">
      <c r="B2343"/>
      <c r="M2343"/>
    </row>
    <row r="2344" spans="2:13" x14ac:dyDescent="0.3">
      <c r="B2344"/>
      <c r="M2344"/>
    </row>
    <row r="2345" spans="2:13" x14ac:dyDescent="0.3">
      <c r="B2345"/>
      <c r="M2345"/>
    </row>
    <row r="2346" spans="2:13" x14ac:dyDescent="0.3">
      <c r="B2346"/>
      <c r="M2346"/>
    </row>
    <row r="2347" spans="2:13" x14ac:dyDescent="0.3">
      <c r="B2347"/>
      <c r="M2347"/>
    </row>
    <row r="2348" spans="2:13" x14ac:dyDescent="0.3">
      <c r="B2348"/>
      <c r="M2348"/>
    </row>
    <row r="2349" spans="2:13" x14ac:dyDescent="0.3">
      <c r="B2349"/>
      <c r="M2349"/>
    </row>
    <row r="2350" spans="2:13" x14ac:dyDescent="0.3">
      <c r="B2350"/>
      <c r="M2350"/>
    </row>
    <row r="2351" spans="2:13" x14ac:dyDescent="0.3">
      <c r="B2351"/>
      <c r="M2351"/>
    </row>
    <row r="2352" spans="2:13" x14ac:dyDescent="0.3">
      <c r="B2352"/>
      <c r="M2352"/>
    </row>
    <row r="2353" spans="2:13" x14ac:dyDescent="0.3">
      <c r="B2353"/>
      <c r="M2353"/>
    </row>
    <row r="2354" spans="2:13" x14ac:dyDescent="0.3">
      <c r="B2354"/>
      <c r="M2354"/>
    </row>
    <row r="2355" spans="2:13" x14ac:dyDescent="0.3">
      <c r="B2355"/>
      <c r="M2355"/>
    </row>
    <row r="2356" spans="2:13" x14ac:dyDescent="0.3">
      <c r="B2356"/>
      <c r="M2356"/>
    </row>
    <row r="2357" spans="2:13" x14ac:dyDescent="0.3">
      <c r="B2357"/>
      <c r="M2357"/>
    </row>
    <row r="2358" spans="2:13" x14ac:dyDescent="0.3">
      <c r="B2358"/>
      <c r="M2358"/>
    </row>
    <row r="2359" spans="2:13" x14ac:dyDescent="0.3">
      <c r="B2359"/>
      <c r="M2359"/>
    </row>
    <row r="2360" spans="2:13" x14ac:dyDescent="0.3">
      <c r="B2360"/>
      <c r="M2360"/>
    </row>
    <row r="2361" spans="2:13" x14ac:dyDescent="0.3">
      <c r="B2361"/>
      <c r="M2361"/>
    </row>
    <row r="2362" spans="2:13" x14ac:dyDescent="0.3">
      <c r="B2362"/>
      <c r="M2362"/>
    </row>
    <row r="2363" spans="2:13" x14ac:dyDescent="0.3">
      <c r="B2363"/>
      <c r="M2363"/>
    </row>
    <row r="2364" spans="2:13" x14ac:dyDescent="0.3">
      <c r="B2364"/>
      <c r="M2364"/>
    </row>
    <row r="2365" spans="2:13" x14ac:dyDescent="0.3">
      <c r="B2365"/>
      <c r="M2365"/>
    </row>
    <row r="2366" spans="2:13" x14ac:dyDescent="0.3">
      <c r="B2366"/>
      <c r="M2366"/>
    </row>
    <row r="2367" spans="2:13" x14ac:dyDescent="0.3">
      <c r="B2367"/>
      <c r="M2367"/>
    </row>
    <row r="2368" spans="2:13" x14ac:dyDescent="0.3">
      <c r="B2368"/>
      <c r="M2368"/>
    </row>
    <row r="2369" spans="2:13" x14ac:dyDescent="0.3">
      <c r="B2369"/>
      <c r="M2369"/>
    </row>
    <row r="2370" spans="2:13" x14ac:dyDescent="0.3">
      <c r="B2370"/>
      <c r="M2370"/>
    </row>
    <row r="2371" spans="2:13" x14ac:dyDescent="0.3">
      <c r="B2371"/>
      <c r="M2371"/>
    </row>
    <row r="2372" spans="2:13" x14ac:dyDescent="0.3">
      <c r="B2372"/>
      <c r="M2372"/>
    </row>
    <row r="2373" spans="2:13" x14ac:dyDescent="0.3">
      <c r="B2373"/>
      <c r="M2373"/>
    </row>
    <row r="2374" spans="2:13" x14ac:dyDescent="0.3">
      <c r="B2374"/>
      <c r="M2374"/>
    </row>
    <row r="2375" spans="2:13" x14ac:dyDescent="0.3">
      <c r="B2375"/>
      <c r="M2375"/>
    </row>
    <row r="2376" spans="2:13" x14ac:dyDescent="0.3">
      <c r="B2376"/>
      <c r="M2376"/>
    </row>
    <row r="2377" spans="2:13" x14ac:dyDescent="0.3">
      <c r="B2377"/>
      <c r="M2377"/>
    </row>
    <row r="2378" spans="2:13" x14ac:dyDescent="0.3">
      <c r="B2378"/>
      <c r="M2378"/>
    </row>
    <row r="2379" spans="2:13" x14ac:dyDescent="0.3">
      <c r="B2379"/>
      <c r="M2379"/>
    </row>
    <row r="2380" spans="2:13" x14ac:dyDescent="0.3">
      <c r="B2380"/>
      <c r="M2380"/>
    </row>
    <row r="2381" spans="2:13" x14ac:dyDescent="0.3">
      <c r="B2381"/>
      <c r="M2381"/>
    </row>
    <row r="2382" spans="2:13" x14ac:dyDescent="0.3">
      <c r="B2382"/>
      <c r="M2382"/>
    </row>
    <row r="2383" spans="2:13" x14ac:dyDescent="0.3">
      <c r="B2383"/>
      <c r="M2383"/>
    </row>
    <row r="2384" spans="2:13" x14ac:dyDescent="0.3">
      <c r="B2384"/>
      <c r="M2384"/>
    </row>
    <row r="2385" spans="2:13" x14ac:dyDescent="0.3">
      <c r="B2385"/>
      <c r="M2385"/>
    </row>
    <row r="2386" spans="2:13" x14ac:dyDescent="0.3">
      <c r="B2386"/>
      <c r="M2386"/>
    </row>
    <row r="2387" spans="2:13" x14ac:dyDescent="0.3">
      <c r="B2387"/>
      <c r="M2387"/>
    </row>
    <row r="2388" spans="2:13" x14ac:dyDescent="0.3">
      <c r="B2388"/>
      <c r="M2388"/>
    </row>
    <row r="2389" spans="2:13" x14ac:dyDescent="0.3">
      <c r="B2389"/>
      <c r="M2389"/>
    </row>
    <row r="2390" spans="2:13" x14ac:dyDescent="0.3">
      <c r="B2390"/>
      <c r="M2390"/>
    </row>
    <row r="2391" spans="2:13" x14ac:dyDescent="0.3">
      <c r="B2391"/>
      <c r="M2391"/>
    </row>
    <row r="2392" spans="2:13" x14ac:dyDescent="0.3">
      <c r="B2392"/>
      <c r="M2392"/>
    </row>
    <row r="2393" spans="2:13" x14ac:dyDescent="0.3">
      <c r="B2393"/>
      <c r="M2393"/>
    </row>
    <row r="2394" spans="2:13" x14ac:dyDescent="0.3">
      <c r="B2394"/>
      <c r="M2394"/>
    </row>
    <row r="2395" spans="2:13" x14ac:dyDescent="0.3">
      <c r="B2395"/>
      <c r="M2395"/>
    </row>
    <row r="2396" spans="2:13" x14ac:dyDescent="0.3">
      <c r="B2396"/>
      <c r="M2396"/>
    </row>
    <row r="2397" spans="2:13" x14ac:dyDescent="0.3">
      <c r="B2397"/>
      <c r="M2397"/>
    </row>
    <row r="2398" spans="2:13" x14ac:dyDescent="0.3">
      <c r="B2398"/>
      <c r="M2398"/>
    </row>
    <row r="2399" spans="2:13" x14ac:dyDescent="0.3">
      <c r="B2399"/>
      <c r="M2399"/>
    </row>
    <row r="2400" spans="2:13" x14ac:dyDescent="0.3">
      <c r="B2400"/>
      <c r="M2400"/>
    </row>
    <row r="2401" spans="2:13" x14ac:dyDescent="0.3">
      <c r="B2401"/>
      <c r="M2401"/>
    </row>
    <row r="2402" spans="2:13" x14ac:dyDescent="0.3">
      <c r="B2402"/>
      <c r="M2402"/>
    </row>
    <row r="2403" spans="2:13" x14ac:dyDescent="0.3">
      <c r="B2403"/>
      <c r="M2403"/>
    </row>
    <row r="2404" spans="2:13" x14ac:dyDescent="0.3">
      <c r="B2404"/>
      <c r="M2404"/>
    </row>
    <row r="2405" spans="2:13" x14ac:dyDescent="0.3">
      <c r="B2405"/>
      <c r="M2405"/>
    </row>
    <row r="2406" spans="2:13" x14ac:dyDescent="0.3">
      <c r="B2406"/>
      <c r="M2406"/>
    </row>
    <row r="2407" spans="2:13" x14ac:dyDescent="0.3">
      <c r="B2407"/>
      <c r="M2407"/>
    </row>
    <row r="2408" spans="2:13" x14ac:dyDescent="0.3">
      <c r="B2408"/>
      <c r="M2408"/>
    </row>
    <row r="2409" spans="2:13" x14ac:dyDescent="0.3">
      <c r="B2409"/>
      <c r="M2409"/>
    </row>
    <row r="2410" spans="2:13" x14ac:dyDescent="0.3">
      <c r="B2410"/>
      <c r="M2410"/>
    </row>
    <row r="2411" spans="2:13" x14ac:dyDescent="0.3">
      <c r="B2411"/>
      <c r="M2411"/>
    </row>
    <row r="2412" spans="2:13" x14ac:dyDescent="0.3">
      <c r="B2412"/>
      <c r="M2412"/>
    </row>
    <row r="2413" spans="2:13" x14ac:dyDescent="0.3">
      <c r="B2413"/>
      <c r="M2413"/>
    </row>
    <row r="2414" spans="2:13" x14ac:dyDescent="0.3">
      <c r="B2414"/>
      <c r="M2414"/>
    </row>
    <row r="2415" spans="2:13" x14ac:dyDescent="0.3">
      <c r="B2415"/>
      <c r="M2415"/>
    </row>
    <row r="2416" spans="2:13" x14ac:dyDescent="0.3">
      <c r="B2416"/>
      <c r="M2416"/>
    </row>
    <row r="2417" spans="2:13" x14ac:dyDescent="0.3">
      <c r="B2417"/>
      <c r="M2417"/>
    </row>
    <row r="2418" spans="2:13" x14ac:dyDescent="0.3">
      <c r="B2418"/>
      <c r="M2418"/>
    </row>
    <row r="2419" spans="2:13" x14ac:dyDescent="0.3">
      <c r="B2419"/>
      <c r="M2419"/>
    </row>
    <row r="2420" spans="2:13" x14ac:dyDescent="0.3">
      <c r="B2420"/>
      <c r="M2420"/>
    </row>
    <row r="2421" spans="2:13" x14ac:dyDescent="0.3">
      <c r="B2421"/>
      <c r="M2421"/>
    </row>
    <row r="2422" spans="2:13" x14ac:dyDescent="0.3">
      <c r="B2422"/>
      <c r="M2422"/>
    </row>
    <row r="2423" spans="2:13" x14ac:dyDescent="0.3">
      <c r="B2423"/>
      <c r="M2423"/>
    </row>
    <row r="2424" spans="2:13" x14ac:dyDescent="0.3">
      <c r="B2424"/>
      <c r="M2424"/>
    </row>
    <row r="2425" spans="2:13" x14ac:dyDescent="0.3">
      <c r="B2425"/>
      <c r="M2425"/>
    </row>
    <row r="2426" spans="2:13" x14ac:dyDescent="0.3">
      <c r="B2426"/>
      <c r="M2426"/>
    </row>
    <row r="2427" spans="2:13" x14ac:dyDescent="0.3">
      <c r="B2427"/>
      <c r="M2427"/>
    </row>
    <row r="2428" spans="2:13" x14ac:dyDescent="0.3">
      <c r="B2428"/>
      <c r="M2428"/>
    </row>
    <row r="2429" spans="2:13" x14ac:dyDescent="0.3">
      <c r="B2429"/>
      <c r="M2429"/>
    </row>
    <row r="2430" spans="2:13" x14ac:dyDescent="0.3">
      <c r="B2430"/>
      <c r="M2430"/>
    </row>
    <row r="2431" spans="2:13" x14ac:dyDescent="0.3">
      <c r="B2431"/>
      <c r="M2431"/>
    </row>
    <row r="2432" spans="2:13" x14ac:dyDescent="0.3">
      <c r="B2432"/>
      <c r="M2432"/>
    </row>
    <row r="2433" spans="2:13" x14ac:dyDescent="0.3">
      <c r="B2433"/>
      <c r="M2433"/>
    </row>
    <row r="2434" spans="2:13" x14ac:dyDescent="0.3">
      <c r="B2434"/>
      <c r="M2434"/>
    </row>
    <row r="2435" spans="2:13" x14ac:dyDescent="0.3">
      <c r="B2435"/>
      <c r="M2435"/>
    </row>
    <row r="2436" spans="2:13" x14ac:dyDescent="0.3">
      <c r="B2436"/>
      <c r="M2436"/>
    </row>
    <row r="2437" spans="2:13" x14ac:dyDescent="0.3">
      <c r="B2437"/>
      <c r="M2437"/>
    </row>
    <row r="2438" spans="2:13" x14ac:dyDescent="0.3">
      <c r="B2438"/>
      <c r="M2438"/>
    </row>
    <row r="2439" spans="2:13" x14ac:dyDescent="0.3">
      <c r="B2439"/>
      <c r="M2439"/>
    </row>
    <row r="2440" spans="2:13" x14ac:dyDescent="0.3">
      <c r="B2440"/>
      <c r="M2440"/>
    </row>
    <row r="2441" spans="2:13" x14ac:dyDescent="0.3">
      <c r="B2441"/>
      <c r="M2441"/>
    </row>
    <row r="2442" spans="2:13" x14ac:dyDescent="0.3">
      <c r="B2442"/>
      <c r="M2442"/>
    </row>
    <row r="2443" spans="2:13" x14ac:dyDescent="0.3">
      <c r="B2443"/>
      <c r="M2443"/>
    </row>
    <row r="2444" spans="2:13" x14ac:dyDescent="0.3">
      <c r="B2444"/>
      <c r="M2444"/>
    </row>
    <row r="2445" spans="2:13" x14ac:dyDescent="0.3">
      <c r="B2445"/>
      <c r="M2445"/>
    </row>
    <row r="2446" spans="2:13" x14ac:dyDescent="0.3">
      <c r="B2446"/>
      <c r="M2446"/>
    </row>
    <row r="2447" spans="2:13" x14ac:dyDescent="0.3">
      <c r="B2447"/>
      <c r="M2447"/>
    </row>
    <row r="2448" spans="2:13" x14ac:dyDescent="0.3">
      <c r="B2448"/>
      <c r="M2448"/>
    </row>
    <row r="2449" spans="2:13" x14ac:dyDescent="0.3">
      <c r="B2449"/>
      <c r="M2449"/>
    </row>
    <row r="2450" spans="2:13" x14ac:dyDescent="0.3">
      <c r="B2450"/>
      <c r="M2450"/>
    </row>
    <row r="2451" spans="2:13" x14ac:dyDescent="0.3">
      <c r="B2451"/>
      <c r="M2451"/>
    </row>
    <row r="2452" spans="2:13" x14ac:dyDescent="0.3">
      <c r="B2452"/>
      <c r="M2452"/>
    </row>
    <row r="2453" spans="2:13" x14ac:dyDescent="0.3">
      <c r="B2453"/>
      <c r="M2453"/>
    </row>
    <row r="2454" spans="2:13" x14ac:dyDescent="0.3">
      <c r="B2454"/>
      <c r="M2454"/>
    </row>
    <row r="2455" spans="2:13" x14ac:dyDescent="0.3">
      <c r="B2455"/>
      <c r="M2455"/>
    </row>
    <row r="2456" spans="2:13" x14ac:dyDescent="0.3">
      <c r="B2456"/>
      <c r="M2456"/>
    </row>
    <row r="2457" spans="2:13" x14ac:dyDescent="0.3">
      <c r="B2457"/>
      <c r="M2457"/>
    </row>
    <row r="2458" spans="2:13" x14ac:dyDescent="0.3">
      <c r="B2458"/>
      <c r="M2458"/>
    </row>
    <row r="2459" spans="2:13" x14ac:dyDescent="0.3">
      <c r="B2459"/>
      <c r="M2459"/>
    </row>
    <row r="2460" spans="2:13" x14ac:dyDescent="0.3">
      <c r="B2460"/>
      <c r="M2460"/>
    </row>
    <row r="2461" spans="2:13" x14ac:dyDescent="0.3">
      <c r="B2461"/>
      <c r="M2461"/>
    </row>
    <row r="2462" spans="2:13" x14ac:dyDescent="0.3">
      <c r="B2462"/>
      <c r="M2462"/>
    </row>
    <row r="2463" spans="2:13" x14ac:dyDescent="0.3">
      <c r="B2463"/>
      <c r="M2463"/>
    </row>
    <row r="2464" spans="2:13" x14ac:dyDescent="0.3">
      <c r="B2464"/>
      <c r="M2464"/>
    </row>
    <row r="2465" spans="2:13" x14ac:dyDescent="0.3">
      <c r="B2465"/>
      <c r="M2465"/>
    </row>
    <row r="2466" spans="2:13" x14ac:dyDescent="0.3">
      <c r="B2466"/>
      <c r="M2466"/>
    </row>
    <row r="2467" spans="2:13" x14ac:dyDescent="0.3">
      <c r="B2467"/>
      <c r="M2467"/>
    </row>
    <row r="2468" spans="2:13" x14ac:dyDescent="0.3">
      <c r="B2468"/>
      <c r="M2468"/>
    </row>
    <row r="2469" spans="2:13" x14ac:dyDescent="0.3">
      <c r="B2469"/>
      <c r="M2469"/>
    </row>
    <row r="2470" spans="2:13" x14ac:dyDescent="0.3">
      <c r="B2470"/>
      <c r="M2470"/>
    </row>
    <row r="2471" spans="2:13" x14ac:dyDescent="0.3">
      <c r="B2471"/>
      <c r="M2471"/>
    </row>
    <row r="2472" spans="2:13" x14ac:dyDescent="0.3">
      <c r="B2472"/>
      <c r="M2472"/>
    </row>
    <row r="2473" spans="2:13" x14ac:dyDescent="0.3">
      <c r="B2473"/>
      <c r="M2473"/>
    </row>
    <row r="2474" spans="2:13" x14ac:dyDescent="0.3">
      <c r="B2474"/>
      <c r="M2474"/>
    </row>
    <row r="2475" spans="2:13" x14ac:dyDescent="0.3">
      <c r="B2475"/>
      <c r="M2475"/>
    </row>
    <row r="2476" spans="2:13" x14ac:dyDescent="0.3">
      <c r="B2476"/>
      <c r="M2476"/>
    </row>
    <row r="2477" spans="2:13" x14ac:dyDescent="0.3">
      <c r="B2477"/>
      <c r="M2477"/>
    </row>
    <row r="2478" spans="2:13" x14ac:dyDescent="0.3">
      <c r="B2478"/>
      <c r="M2478"/>
    </row>
    <row r="2479" spans="2:13" x14ac:dyDescent="0.3">
      <c r="B2479"/>
      <c r="M2479"/>
    </row>
    <row r="2480" spans="2:13" x14ac:dyDescent="0.3">
      <c r="B2480"/>
      <c r="M2480"/>
    </row>
    <row r="2481" spans="2:13" x14ac:dyDescent="0.3">
      <c r="B2481"/>
      <c r="M2481"/>
    </row>
    <row r="2482" spans="2:13" x14ac:dyDescent="0.3">
      <c r="B2482"/>
      <c r="M2482"/>
    </row>
    <row r="2483" spans="2:13" x14ac:dyDescent="0.3">
      <c r="B2483"/>
      <c r="M2483"/>
    </row>
    <row r="2484" spans="2:13" x14ac:dyDescent="0.3">
      <c r="B2484"/>
      <c r="M2484"/>
    </row>
    <row r="2485" spans="2:13" x14ac:dyDescent="0.3">
      <c r="B2485"/>
      <c r="M2485"/>
    </row>
    <row r="2486" spans="2:13" x14ac:dyDescent="0.3">
      <c r="B2486"/>
      <c r="M2486"/>
    </row>
    <row r="2487" spans="2:13" x14ac:dyDescent="0.3">
      <c r="B2487"/>
      <c r="M2487"/>
    </row>
    <row r="2488" spans="2:13" x14ac:dyDescent="0.3">
      <c r="B2488"/>
      <c r="M2488"/>
    </row>
    <row r="2489" spans="2:13" x14ac:dyDescent="0.3">
      <c r="B2489"/>
      <c r="M2489"/>
    </row>
    <row r="2490" spans="2:13" x14ac:dyDescent="0.3">
      <c r="B2490"/>
      <c r="M2490"/>
    </row>
    <row r="2491" spans="2:13" x14ac:dyDescent="0.3">
      <c r="B2491"/>
      <c r="M2491"/>
    </row>
    <row r="2492" spans="2:13" x14ac:dyDescent="0.3">
      <c r="B2492"/>
      <c r="M2492"/>
    </row>
    <row r="2493" spans="2:13" x14ac:dyDescent="0.3">
      <c r="B2493"/>
      <c r="M2493"/>
    </row>
    <row r="2494" spans="2:13" x14ac:dyDescent="0.3">
      <c r="B2494"/>
      <c r="M2494"/>
    </row>
    <row r="2495" spans="2:13" x14ac:dyDescent="0.3">
      <c r="B2495"/>
      <c r="M2495"/>
    </row>
    <row r="2496" spans="2:13" x14ac:dyDescent="0.3">
      <c r="B2496"/>
      <c r="M2496"/>
    </row>
    <row r="2497" spans="2:13" x14ac:dyDescent="0.3">
      <c r="B2497"/>
      <c r="M2497"/>
    </row>
    <row r="2498" spans="2:13" x14ac:dyDescent="0.3">
      <c r="B2498"/>
      <c r="M2498"/>
    </row>
    <row r="2499" spans="2:13" x14ac:dyDescent="0.3">
      <c r="B2499"/>
      <c r="M2499"/>
    </row>
    <row r="2500" spans="2:13" x14ac:dyDescent="0.3">
      <c r="B2500"/>
      <c r="M2500"/>
    </row>
    <row r="2501" spans="2:13" x14ac:dyDescent="0.3">
      <c r="B2501"/>
      <c r="M2501"/>
    </row>
    <row r="2502" spans="2:13" x14ac:dyDescent="0.3">
      <c r="B2502"/>
      <c r="M2502"/>
    </row>
    <row r="2503" spans="2:13" x14ac:dyDescent="0.3">
      <c r="B2503"/>
      <c r="M2503"/>
    </row>
    <row r="2504" spans="2:13" x14ac:dyDescent="0.3">
      <c r="B2504"/>
      <c r="M2504"/>
    </row>
    <row r="2505" spans="2:13" x14ac:dyDescent="0.3">
      <c r="B2505"/>
      <c r="M2505"/>
    </row>
    <row r="2506" spans="2:13" x14ac:dyDescent="0.3">
      <c r="B2506"/>
      <c r="M2506"/>
    </row>
    <row r="2507" spans="2:13" x14ac:dyDescent="0.3">
      <c r="B2507"/>
      <c r="M2507"/>
    </row>
    <row r="2508" spans="2:13" x14ac:dyDescent="0.3">
      <c r="B2508"/>
      <c r="M2508"/>
    </row>
    <row r="2509" spans="2:13" x14ac:dyDescent="0.3">
      <c r="B2509"/>
      <c r="M2509"/>
    </row>
    <row r="2510" spans="2:13" x14ac:dyDescent="0.3">
      <c r="B2510"/>
      <c r="M2510"/>
    </row>
    <row r="2511" spans="2:13" x14ac:dyDescent="0.3">
      <c r="B2511"/>
      <c r="M2511"/>
    </row>
    <row r="2512" spans="2:13" x14ac:dyDescent="0.3">
      <c r="B2512"/>
      <c r="M2512"/>
    </row>
    <row r="2513" spans="2:13" x14ac:dyDescent="0.3">
      <c r="B2513"/>
      <c r="M2513"/>
    </row>
    <row r="2514" spans="2:13" x14ac:dyDescent="0.3">
      <c r="B2514"/>
      <c r="M2514"/>
    </row>
    <row r="2515" spans="2:13" x14ac:dyDescent="0.3">
      <c r="B2515"/>
      <c r="M2515"/>
    </row>
    <row r="2516" spans="2:13" x14ac:dyDescent="0.3">
      <c r="B2516"/>
      <c r="M2516"/>
    </row>
    <row r="2517" spans="2:13" x14ac:dyDescent="0.3">
      <c r="B2517"/>
      <c r="M2517"/>
    </row>
    <row r="2518" spans="2:13" x14ac:dyDescent="0.3">
      <c r="B2518"/>
      <c r="M2518"/>
    </row>
    <row r="2519" spans="2:13" x14ac:dyDescent="0.3">
      <c r="B2519"/>
      <c r="M2519"/>
    </row>
    <row r="2520" spans="2:13" x14ac:dyDescent="0.3">
      <c r="B2520"/>
      <c r="M2520"/>
    </row>
    <row r="2521" spans="2:13" x14ac:dyDescent="0.3">
      <c r="B2521"/>
      <c r="M2521"/>
    </row>
    <row r="2522" spans="2:13" x14ac:dyDescent="0.3">
      <c r="B2522"/>
      <c r="M2522"/>
    </row>
    <row r="2523" spans="2:13" x14ac:dyDescent="0.3">
      <c r="B2523"/>
      <c r="M2523"/>
    </row>
    <row r="2524" spans="2:13" x14ac:dyDescent="0.3">
      <c r="B2524"/>
      <c r="M2524"/>
    </row>
    <row r="2525" spans="2:13" x14ac:dyDescent="0.3">
      <c r="B2525"/>
      <c r="M2525"/>
    </row>
    <row r="2526" spans="2:13" x14ac:dyDescent="0.3">
      <c r="B2526"/>
      <c r="M2526"/>
    </row>
    <row r="2527" spans="2:13" x14ac:dyDescent="0.3">
      <c r="B2527"/>
      <c r="M2527"/>
    </row>
    <row r="2528" spans="2:13" x14ac:dyDescent="0.3">
      <c r="B2528"/>
      <c r="M2528"/>
    </row>
    <row r="2529" spans="2:13" x14ac:dyDescent="0.3">
      <c r="B2529"/>
      <c r="M2529"/>
    </row>
    <row r="2530" spans="2:13" x14ac:dyDescent="0.3">
      <c r="B2530"/>
      <c r="M2530"/>
    </row>
    <row r="2531" spans="2:13" x14ac:dyDescent="0.3">
      <c r="B2531"/>
      <c r="M2531"/>
    </row>
    <row r="2532" spans="2:13" x14ac:dyDescent="0.3">
      <c r="B2532"/>
      <c r="M2532"/>
    </row>
    <row r="2533" spans="2:13" x14ac:dyDescent="0.3">
      <c r="B2533"/>
      <c r="M2533"/>
    </row>
    <row r="2534" spans="2:13" x14ac:dyDescent="0.3">
      <c r="B2534"/>
      <c r="M2534"/>
    </row>
    <row r="2535" spans="2:13" x14ac:dyDescent="0.3">
      <c r="B2535"/>
      <c r="M2535"/>
    </row>
    <row r="2536" spans="2:13" x14ac:dyDescent="0.3">
      <c r="B2536"/>
      <c r="M2536"/>
    </row>
    <row r="2537" spans="2:13" x14ac:dyDescent="0.3">
      <c r="B2537"/>
      <c r="M2537"/>
    </row>
    <row r="2538" spans="2:13" x14ac:dyDescent="0.3">
      <c r="B2538"/>
      <c r="M2538"/>
    </row>
    <row r="2539" spans="2:13" x14ac:dyDescent="0.3">
      <c r="B2539"/>
      <c r="M2539"/>
    </row>
    <row r="2540" spans="2:13" x14ac:dyDescent="0.3">
      <c r="B2540"/>
      <c r="M2540"/>
    </row>
    <row r="2541" spans="2:13" x14ac:dyDescent="0.3">
      <c r="B2541"/>
      <c r="M2541"/>
    </row>
    <row r="2542" spans="2:13" x14ac:dyDescent="0.3">
      <c r="B2542"/>
      <c r="M2542"/>
    </row>
    <row r="2543" spans="2:13" x14ac:dyDescent="0.3">
      <c r="B2543"/>
      <c r="M2543"/>
    </row>
    <row r="2544" spans="2:13" x14ac:dyDescent="0.3">
      <c r="B2544"/>
      <c r="M2544"/>
    </row>
    <row r="2545" spans="2:13" x14ac:dyDescent="0.3">
      <c r="B2545"/>
      <c r="M2545"/>
    </row>
    <row r="2546" spans="2:13" x14ac:dyDescent="0.3">
      <c r="B2546"/>
      <c r="M2546"/>
    </row>
    <row r="2547" spans="2:13" x14ac:dyDescent="0.3">
      <c r="B2547"/>
      <c r="M2547"/>
    </row>
    <row r="2548" spans="2:13" x14ac:dyDescent="0.3">
      <c r="B2548"/>
      <c r="M2548"/>
    </row>
    <row r="2549" spans="2:13" x14ac:dyDescent="0.3">
      <c r="B2549"/>
      <c r="M2549"/>
    </row>
    <row r="2550" spans="2:13" x14ac:dyDescent="0.3">
      <c r="B2550"/>
      <c r="M2550"/>
    </row>
    <row r="2551" spans="2:13" x14ac:dyDescent="0.3">
      <c r="B2551"/>
      <c r="M2551"/>
    </row>
    <row r="2552" spans="2:13" x14ac:dyDescent="0.3">
      <c r="B2552"/>
      <c r="M2552"/>
    </row>
    <row r="2553" spans="2:13" x14ac:dyDescent="0.3">
      <c r="B2553"/>
      <c r="M2553"/>
    </row>
    <row r="2554" spans="2:13" x14ac:dyDescent="0.3">
      <c r="B2554"/>
      <c r="M2554"/>
    </row>
    <row r="2555" spans="2:13" x14ac:dyDescent="0.3">
      <c r="B2555"/>
      <c r="M2555"/>
    </row>
    <row r="2556" spans="2:13" x14ac:dyDescent="0.3">
      <c r="B2556"/>
      <c r="M2556"/>
    </row>
    <row r="2557" spans="2:13" x14ac:dyDescent="0.3">
      <c r="B2557"/>
      <c r="M2557"/>
    </row>
    <row r="2558" spans="2:13" x14ac:dyDescent="0.3">
      <c r="B2558"/>
      <c r="M2558"/>
    </row>
    <row r="2559" spans="2:13" x14ac:dyDescent="0.3">
      <c r="B2559"/>
      <c r="M2559"/>
    </row>
    <row r="2560" spans="2:13" x14ac:dyDescent="0.3">
      <c r="B2560"/>
      <c r="M2560"/>
    </row>
    <row r="2561" spans="2:13" x14ac:dyDescent="0.3">
      <c r="B2561"/>
      <c r="M2561"/>
    </row>
    <row r="2562" spans="2:13" x14ac:dyDescent="0.3">
      <c r="B2562"/>
      <c r="M2562"/>
    </row>
    <row r="2563" spans="2:13" x14ac:dyDescent="0.3">
      <c r="B2563"/>
      <c r="M2563"/>
    </row>
    <row r="2564" spans="2:13" x14ac:dyDescent="0.3">
      <c r="B2564"/>
      <c r="M2564"/>
    </row>
    <row r="2565" spans="2:13" x14ac:dyDescent="0.3">
      <c r="B2565"/>
      <c r="M2565"/>
    </row>
    <row r="2566" spans="2:13" x14ac:dyDescent="0.3">
      <c r="B2566"/>
      <c r="M2566"/>
    </row>
    <row r="2567" spans="2:13" x14ac:dyDescent="0.3">
      <c r="B2567"/>
      <c r="M2567"/>
    </row>
    <row r="2568" spans="2:13" x14ac:dyDescent="0.3">
      <c r="B2568"/>
      <c r="M2568"/>
    </row>
    <row r="2569" spans="2:13" x14ac:dyDescent="0.3">
      <c r="B2569"/>
      <c r="M2569"/>
    </row>
    <row r="2570" spans="2:13" x14ac:dyDescent="0.3">
      <c r="B2570"/>
      <c r="M2570"/>
    </row>
    <row r="2571" spans="2:13" x14ac:dyDescent="0.3">
      <c r="B2571"/>
      <c r="M2571"/>
    </row>
    <row r="2572" spans="2:13" x14ac:dyDescent="0.3">
      <c r="B2572"/>
      <c r="M2572"/>
    </row>
    <row r="2573" spans="2:13" x14ac:dyDescent="0.3">
      <c r="B2573"/>
      <c r="M2573"/>
    </row>
    <row r="2574" spans="2:13" x14ac:dyDescent="0.3">
      <c r="B2574"/>
      <c r="M2574"/>
    </row>
    <row r="2575" spans="2:13" x14ac:dyDescent="0.3">
      <c r="B2575"/>
      <c r="M2575"/>
    </row>
    <row r="2576" spans="2:13" x14ac:dyDescent="0.3">
      <c r="B2576"/>
      <c r="M2576"/>
    </row>
    <row r="2577" spans="2:13" x14ac:dyDescent="0.3">
      <c r="B2577"/>
      <c r="M2577"/>
    </row>
    <row r="2578" spans="2:13" x14ac:dyDescent="0.3">
      <c r="B2578"/>
      <c r="M2578"/>
    </row>
    <row r="2579" spans="2:13" x14ac:dyDescent="0.3">
      <c r="B2579"/>
      <c r="M2579"/>
    </row>
    <row r="2580" spans="2:13" x14ac:dyDescent="0.3">
      <c r="B2580"/>
      <c r="M2580"/>
    </row>
    <row r="2581" spans="2:13" x14ac:dyDescent="0.3">
      <c r="B2581"/>
      <c r="M2581"/>
    </row>
    <row r="2582" spans="2:13" x14ac:dyDescent="0.3">
      <c r="B2582"/>
      <c r="M2582"/>
    </row>
    <row r="2583" spans="2:13" x14ac:dyDescent="0.3">
      <c r="B2583"/>
      <c r="M2583"/>
    </row>
    <row r="2584" spans="2:13" x14ac:dyDescent="0.3">
      <c r="B2584"/>
      <c r="M2584"/>
    </row>
    <row r="2585" spans="2:13" x14ac:dyDescent="0.3">
      <c r="B2585"/>
      <c r="M2585"/>
    </row>
    <row r="2586" spans="2:13" x14ac:dyDescent="0.3">
      <c r="B2586"/>
      <c r="M2586"/>
    </row>
    <row r="2587" spans="2:13" x14ac:dyDescent="0.3">
      <c r="B2587"/>
      <c r="M2587"/>
    </row>
    <row r="2588" spans="2:13" x14ac:dyDescent="0.3">
      <c r="B2588"/>
      <c r="M2588"/>
    </row>
    <row r="2589" spans="2:13" x14ac:dyDescent="0.3">
      <c r="B2589"/>
      <c r="M2589"/>
    </row>
    <row r="2590" spans="2:13" x14ac:dyDescent="0.3">
      <c r="B2590"/>
      <c r="M2590"/>
    </row>
    <row r="2591" spans="2:13" x14ac:dyDescent="0.3">
      <c r="B2591"/>
      <c r="M2591"/>
    </row>
    <row r="2592" spans="2:13" x14ac:dyDescent="0.3">
      <c r="B2592"/>
      <c r="M2592"/>
    </row>
    <row r="2593" spans="2:13" x14ac:dyDescent="0.3">
      <c r="B2593"/>
      <c r="M2593"/>
    </row>
    <row r="2594" spans="2:13" x14ac:dyDescent="0.3">
      <c r="B2594"/>
      <c r="M2594"/>
    </row>
    <row r="2595" spans="2:13" x14ac:dyDescent="0.3">
      <c r="B2595"/>
      <c r="M2595"/>
    </row>
    <row r="2596" spans="2:13" x14ac:dyDescent="0.3">
      <c r="B2596"/>
      <c r="M2596"/>
    </row>
    <row r="2597" spans="2:13" x14ac:dyDescent="0.3">
      <c r="B2597"/>
      <c r="M2597"/>
    </row>
    <row r="2598" spans="2:13" x14ac:dyDescent="0.3">
      <c r="B2598"/>
      <c r="M2598"/>
    </row>
    <row r="2599" spans="2:13" x14ac:dyDescent="0.3">
      <c r="B2599"/>
      <c r="M2599"/>
    </row>
    <row r="2600" spans="2:13" x14ac:dyDescent="0.3">
      <c r="B2600"/>
      <c r="M2600"/>
    </row>
    <row r="2601" spans="2:13" x14ac:dyDescent="0.3">
      <c r="B2601"/>
      <c r="M2601"/>
    </row>
    <row r="2602" spans="2:13" x14ac:dyDescent="0.3">
      <c r="B2602"/>
      <c r="M2602"/>
    </row>
    <row r="2603" spans="2:13" x14ac:dyDescent="0.3">
      <c r="B2603"/>
      <c r="M2603"/>
    </row>
    <row r="2604" spans="2:13" x14ac:dyDescent="0.3">
      <c r="B2604"/>
      <c r="M2604"/>
    </row>
    <row r="2605" spans="2:13" x14ac:dyDescent="0.3">
      <c r="B2605"/>
      <c r="M2605"/>
    </row>
    <row r="2606" spans="2:13" x14ac:dyDescent="0.3">
      <c r="B2606"/>
      <c r="M2606"/>
    </row>
    <row r="2607" spans="2:13" x14ac:dyDescent="0.3">
      <c r="B2607"/>
      <c r="M2607"/>
    </row>
    <row r="2608" spans="2:13" x14ac:dyDescent="0.3">
      <c r="B2608"/>
      <c r="M2608"/>
    </row>
    <row r="2609" spans="2:13" x14ac:dyDescent="0.3">
      <c r="B2609"/>
      <c r="M2609"/>
    </row>
    <row r="2610" spans="2:13" x14ac:dyDescent="0.3">
      <c r="B2610"/>
      <c r="M2610"/>
    </row>
    <row r="2611" spans="2:13" x14ac:dyDescent="0.3">
      <c r="B2611"/>
      <c r="M2611"/>
    </row>
    <row r="2612" spans="2:13" x14ac:dyDescent="0.3">
      <c r="B2612"/>
      <c r="M2612"/>
    </row>
    <row r="2613" spans="2:13" x14ac:dyDescent="0.3">
      <c r="B2613"/>
      <c r="M2613"/>
    </row>
    <row r="2614" spans="2:13" x14ac:dyDescent="0.3">
      <c r="B2614"/>
      <c r="M2614"/>
    </row>
    <row r="2615" spans="2:13" x14ac:dyDescent="0.3">
      <c r="B2615"/>
      <c r="M2615"/>
    </row>
    <row r="2616" spans="2:13" x14ac:dyDescent="0.3">
      <c r="B2616"/>
      <c r="M2616"/>
    </row>
    <row r="2617" spans="2:13" x14ac:dyDescent="0.3">
      <c r="B2617"/>
      <c r="M2617"/>
    </row>
    <row r="2618" spans="2:13" x14ac:dyDescent="0.3">
      <c r="B2618"/>
      <c r="M2618"/>
    </row>
    <row r="2619" spans="2:13" x14ac:dyDescent="0.3">
      <c r="B2619"/>
      <c r="M2619"/>
    </row>
    <row r="2620" spans="2:13" x14ac:dyDescent="0.3">
      <c r="B2620"/>
      <c r="M2620"/>
    </row>
    <row r="2621" spans="2:13" x14ac:dyDescent="0.3">
      <c r="B2621"/>
      <c r="M2621"/>
    </row>
    <row r="2622" spans="2:13" x14ac:dyDescent="0.3">
      <c r="B2622"/>
      <c r="M2622"/>
    </row>
    <row r="2623" spans="2:13" x14ac:dyDescent="0.3">
      <c r="B2623"/>
      <c r="M2623"/>
    </row>
    <row r="2624" spans="2:13" x14ac:dyDescent="0.3">
      <c r="B2624"/>
      <c r="M2624"/>
    </row>
    <row r="2625" spans="2:13" x14ac:dyDescent="0.3">
      <c r="B2625"/>
      <c r="M2625"/>
    </row>
    <row r="2626" spans="2:13" x14ac:dyDescent="0.3">
      <c r="B2626"/>
      <c r="M2626"/>
    </row>
    <row r="2627" spans="2:13" x14ac:dyDescent="0.3">
      <c r="B2627"/>
      <c r="M2627"/>
    </row>
    <row r="2628" spans="2:13" x14ac:dyDescent="0.3">
      <c r="B2628"/>
      <c r="M2628"/>
    </row>
    <row r="2629" spans="2:13" x14ac:dyDescent="0.3">
      <c r="B2629"/>
      <c r="M2629"/>
    </row>
    <row r="2630" spans="2:13" x14ac:dyDescent="0.3">
      <c r="B2630"/>
      <c r="M2630"/>
    </row>
    <row r="2631" spans="2:13" x14ac:dyDescent="0.3">
      <c r="B2631"/>
      <c r="M2631"/>
    </row>
    <row r="2632" spans="2:13" x14ac:dyDescent="0.3">
      <c r="B2632"/>
      <c r="M2632"/>
    </row>
    <row r="2633" spans="2:13" x14ac:dyDescent="0.3">
      <c r="B2633"/>
      <c r="M2633"/>
    </row>
    <row r="2634" spans="2:13" x14ac:dyDescent="0.3">
      <c r="B2634"/>
      <c r="M2634"/>
    </row>
    <row r="2635" spans="2:13" x14ac:dyDescent="0.3">
      <c r="B2635"/>
      <c r="M2635"/>
    </row>
    <row r="2636" spans="2:13" x14ac:dyDescent="0.3">
      <c r="B2636"/>
      <c r="M2636"/>
    </row>
    <row r="2637" spans="2:13" x14ac:dyDescent="0.3">
      <c r="B2637"/>
      <c r="M2637"/>
    </row>
    <row r="2638" spans="2:13" x14ac:dyDescent="0.3">
      <c r="B2638"/>
      <c r="M2638"/>
    </row>
    <row r="2639" spans="2:13" x14ac:dyDescent="0.3">
      <c r="B2639"/>
      <c r="M2639"/>
    </row>
    <row r="2640" spans="2:13" x14ac:dyDescent="0.3">
      <c r="B2640"/>
      <c r="M2640"/>
    </row>
    <row r="2641" spans="2:13" x14ac:dyDescent="0.3">
      <c r="B2641"/>
      <c r="M2641"/>
    </row>
    <row r="2642" spans="2:13" x14ac:dyDescent="0.3">
      <c r="B2642"/>
      <c r="M2642"/>
    </row>
    <row r="2643" spans="2:13" x14ac:dyDescent="0.3">
      <c r="B2643"/>
      <c r="M2643"/>
    </row>
    <row r="2644" spans="2:13" x14ac:dyDescent="0.3">
      <c r="B2644"/>
      <c r="M2644"/>
    </row>
    <row r="2645" spans="2:13" x14ac:dyDescent="0.3">
      <c r="B2645"/>
      <c r="M2645"/>
    </row>
    <row r="2646" spans="2:13" x14ac:dyDescent="0.3">
      <c r="B2646"/>
      <c r="M2646"/>
    </row>
    <row r="2647" spans="2:13" x14ac:dyDescent="0.3">
      <c r="B2647"/>
      <c r="M2647"/>
    </row>
    <row r="2648" spans="2:13" x14ac:dyDescent="0.3">
      <c r="B2648"/>
      <c r="M2648"/>
    </row>
    <row r="2649" spans="2:13" x14ac:dyDescent="0.3">
      <c r="B2649"/>
      <c r="M2649"/>
    </row>
    <row r="2650" spans="2:13" x14ac:dyDescent="0.3">
      <c r="B2650"/>
      <c r="M2650"/>
    </row>
    <row r="2651" spans="2:13" x14ac:dyDescent="0.3">
      <c r="B2651"/>
      <c r="M2651"/>
    </row>
    <row r="2652" spans="2:13" x14ac:dyDescent="0.3">
      <c r="B2652"/>
      <c r="M2652"/>
    </row>
    <row r="2653" spans="2:13" x14ac:dyDescent="0.3">
      <c r="B2653"/>
      <c r="M2653"/>
    </row>
    <row r="2654" spans="2:13" x14ac:dyDescent="0.3">
      <c r="B2654"/>
      <c r="M2654"/>
    </row>
    <row r="2655" spans="2:13" x14ac:dyDescent="0.3">
      <c r="B2655"/>
      <c r="M2655"/>
    </row>
    <row r="2656" spans="2:13" x14ac:dyDescent="0.3">
      <c r="B2656"/>
      <c r="M2656"/>
    </row>
    <row r="2657" spans="2:13" x14ac:dyDescent="0.3">
      <c r="B2657"/>
      <c r="M2657"/>
    </row>
    <row r="2658" spans="2:13" x14ac:dyDescent="0.3">
      <c r="B2658"/>
      <c r="M2658"/>
    </row>
    <row r="2659" spans="2:13" x14ac:dyDescent="0.3">
      <c r="B2659"/>
      <c r="M2659"/>
    </row>
    <row r="2660" spans="2:13" x14ac:dyDescent="0.3">
      <c r="B2660"/>
      <c r="M2660"/>
    </row>
    <row r="2661" spans="2:13" x14ac:dyDescent="0.3">
      <c r="B2661"/>
      <c r="M2661"/>
    </row>
    <row r="2662" spans="2:13" x14ac:dyDescent="0.3">
      <c r="B2662"/>
      <c r="M2662"/>
    </row>
    <row r="2663" spans="2:13" x14ac:dyDescent="0.3">
      <c r="B2663"/>
      <c r="M2663"/>
    </row>
    <row r="2664" spans="2:13" x14ac:dyDescent="0.3">
      <c r="B2664"/>
      <c r="M2664"/>
    </row>
    <row r="2665" spans="2:13" x14ac:dyDescent="0.3">
      <c r="B2665"/>
      <c r="M2665"/>
    </row>
    <row r="2666" spans="2:13" x14ac:dyDescent="0.3">
      <c r="B2666"/>
      <c r="M2666"/>
    </row>
    <row r="2667" spans="2:13" x14ac:dyDescent="0.3">
      <c r="B2667"/>
      <c r="M2667"/>
    </row>
    <row r="2668" spans="2:13" x14ac:dyDescent="0.3">
      <c r="B2668"/>
      <c r="M2668"/>
    </row>
    <row r="2669" spans="2:13" x14ac:dyDescent="0.3">
      <c r="B2669"/>
      <c r="M2669"/>
    </row>
    <row r="2670" spans="2:13" x14ac:dyDescent="0.3">
      <c r="B2670"/>
      <c r="M2670"/>
    </row>
    <row r="2671" spans="2:13" x14ac:dyDescent="0.3">
      <c r="B2671"/>
      <c r="M2671"/>
    </row>
    <row r="2672" spans="2:13" x14ac:dyDescent="0.3">
      <c r="B2672"/>
      <c r="M2672"/>
    </row>
    <row r="2673" spans="2:13" x14ac:dyDescent="0.3">
      <c r="B2673"/>
      <c r="M2673"/>
    </row>
    <row r="2674" spans="2:13" x14ac:dyDescent="0.3">
      <c r="B2674"/>
      <c r="M2674"/>
    </row>
    <row r="2675" spans="2:13" x14ac:dyDescent="0.3">
      <c r="B2675"/>
      <c r="M2675"/>
    </row>
    <row r="2676" spans="2:13" x14ac:dyDescent="0.3">
      <c r="B2676"/>
      <c r="M2676"/>
    </row>
    <row r="2677" spans="2:13" x14ac:dyDescent="0.3">
      <c r="B2677"/>
      <c r="M2677"/>
    </row>
    <row r="2678" spans="2:13" x14ac:dyDescent="0.3">
      <c r="B2678"/>
      <c r="M2678"/>
    </row>
    <row r="2679" spans="2:13" x14ac:dyDescent="0.3">
      <c r="B2679"/>
      <c r="M2679"/>
    </row>
    <row r="2680" spans="2:13" x14ac:dyDescent="0.3">
      <c r="B2680"/>
      <c r="M2680"/>
    </row>
    <row r="2681" spans="2:13" x14ac:dyDescent="0.3">
      <c r="B2681"/>
      <c r="M2681"/>
    </row>
    <row r="2682" spans="2:13" x14ac:dyDescent="0.3">
      <c r="B2682"/>
      <c r="M2682"/>
    </row>
    <row r="2683" spans="2:13" x14ac:dyDescent="0.3">
      <c r="B2683"/>
      <c r="M2683"/>
    </row>
    <row r="2684" spans="2:13" x14ac:dyDescent="0.3">
      <c r="B2684"/>
      <c r="M2684"/>
    </row>
    <row r="2685" spans="2:13" x14ac:dyDescent="0.3">
      <c r="B2685"/>
      <c r="M2685"/>
    </row>
    <row r="2686" spans="2:13" x14ac:dyDescent="0.3">
      <c r="B2686"/>
      <c r="M2686"/>
    </row>
    <row r="2687" spans="2:13" x14ac:dyDescent="0.3">
      <c r="B2687"/>
      <c r="M2687"/>
    </row>
    <row r="2688" spans="2:13" x14ac:dyDescent="0.3">
      <c r="B2688"/>
      <c r="M2688"/>
    </row>
    <row r="2689" spans="2:13" x14ac:dyDescent="0.3">
      <c r="B2689"/>
      <c r="M2689"/>
    </row>
    <row r="2690" spans="2:13" x14ac:dyDescent="0.3">
      <c r="B2690"/>
      <c r="M2690"/>
    </row>
    <row r="2691" spans="2:13" x14ac:dyDescent="0.3">
      <c r="B2691"/>
      <c r="M2691"/>
    </row>
    <row r="2692" spans="2:13" x14ac:dyDescent="0.3">
      <c r="B2692"/>
      <c r="M2692"/>
    </row>
    <row r="2693" spans="2:13" x14ac:dyDescent="0.3">
      <c r="B2693"/>
      <c r="M2693"/>
    </row>
    <row r="2694" spans="2:13" x14ac:dyDescent="0.3">
      <c r="B2694"/>
      <c r="M2694"/>
    </row>
    <row r="2695" spans="2:13" x14ac:dyDescent="0.3">
      <c r="B2695"/>
      <c r="M2695"/>
    </row>
    <row r="2696" spans="2:13" x14ac:dyDescent="0.3">
      <c r="B2696"/>
      <c r="M2696"/>
    </row>
    <row r="2697" spans="2:13" x14ac:dyDescent="0.3">
      <c r="B2697"/>
      <c r="M2697"/>
    </row>
    <row r="2698" spans="2:13" x14ac:dyDescent="0.3">
      <c r="B2698"/>
      <c r="M2698"/>
    </row>
    <row r="2699" spans="2:13" x14ac:dyDescent="0.3">
      <c r="B2699"/>
      <c r="M2699"/>
    </row>
    <row r="2700" spans="2:13" x14ac:dyDescent="0.3">
      <c r="B2700"/>
      <c r="M2700"/>
    </row>
    <row r="2701" spans="2:13" x14ac:dyDescent="0.3">
      <c r="B2701"/>
      <c r="M2701"/>
    </row>
    <row r="2702" spans="2:13" x14ac:dyDescent="0.3">
      <c r="B2702"/>
      <c r="M2702"/>
    </row>
    <row r="2703" spans="2:13" x14ac:dyDescent="0.3">
      <c r="B2703"/>
      <c r="M2703"/>
    </row>
    <row r="2704" spans="2:13" x14ac:dyDescent="0.3">
      <c r="B2704"/>
      <c r="M2704"/>
    </row>
    <row r="2705" spans="2:13" x14ac:dyDescent="0.3">
      <c r="B2705"/>
      <c r="M2705"/>
    </row>
    <row r="2706" spans="2:13" x14ac:dyDescent="0.3">
      <c r="B2706"/>
      <c r="M2706"/>
    </row>
    <row r="2707" spans="2:13" x14ac:dyDescent="0.3">
      <c r="B2707"/>
      <c r="M2707"/>
    </row>
    <row r="2708" spans="2:13" x14ac:dyDescent="0.3">
      <c r="B2708"/>
      <c r="M2708"/>
    </row>
    <row r="2709" spans="2:13" x14ac:dyDescent="0.3">
      <c r="B2709"/>
      <c r="M2709"/>
    </row>
    <row r="2710" spans="2:13" x14ac:dyDescent="0.3">
      <c r="B2710"/>
      <c r="M2710"/>
    </row>
    <row r="2711" spans="2:13" x14ac:dyDescent="0.3">
      <c r="B2711"/>
      <c r="M2711"/>
    </row>
    <row r="2712" spans="2:13" x14ac:dyDescent="0.3">
      <c r="B2712"/>
      <c r="M2712"/>
    </row>
    <row r="2713" spans="2:13" x14ac:dyDescent="0.3">
      <c r="B2713"/>
      <c r="M2713"/>
    </row>
    <row r="2714" spans="2:13" x14ac:dyDescent="0.3">
      <c r="B2714"/>
      <c r="M2714"/>
    </row>
    <row r="2715" spans="2:13" x14ac:dyDescent="0.3">
      <c r="B2715"/>
      <c r="M2715"/>
    </row>
    <row r="2716" spans="2:13" x14ac:dyDescent="0.3">
      <c r="B2716"/>
      <c r="M2716"/>
    </row>
    <row r="2717" spans="2:13" x14ac:dyDescent="0.3">
      <c r="B2717"/>
      <c r="M2717"/>
    </row>
    <row r="2718" spans="2:13" x14ac:dyDescent="0.3">
      <c r="B2718"/>
      <c r="M2718"/>
    </row>
  </sheetData>
  <autoFilter ref="A1:M375" xr:uid="{63087664-4D47-453B-9337-44ECFD451B19}">
    <sortState xmlns:xlrd2="http://schemas.microsoft.com/office/spreadsheetml/2017/richdata2" ref="A2:M361">
      <sortCondition ref="B1:B190"/>
    </sortState>
  </autoFilter>
  <phoneticPr fontId="7" type="noConversion"/>
  <hyperlinks>
    <hyperlink ref="B89" r:id="rId1" xr:uid="{20E618BA-B03F-49A0-A46F-5D1388EE2DC9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D09E40-FC75-4ABE-9AF1-754037B12C59}">
          <x14:formula1>
            <xm:f>'Expense Headers'!$A$2:$A$24</xm:f>
          </x14:formula1>
          <xm:sqref>J2</xm:sqref>
        </x14:dataValidation>
        <x14:dataValidation type="list" allowBlank="1" showInputMessage="1" showErrorMessage="1" xr:uid="{169F7561-13E8-4C68-8127-84E14D618804}">
          <x14:formula1>
            <xm:f>'Expense Headers'!$E$2:$E$10</xm:f>
          </x14:formula1>
          <xm:sqref>I2</xm:sqref>
        </x14:dataValidation>
        <x14:dataValidation type="list" allowBlank="1" showInputMessage="1" showErrorMessage="1" xr:uid="{6816FB7C-0815-4E8A-8257-3F4F69B80599}">
          <x14:formula1>
            <xm:f>'Expense Headers'!$G$2:$G$18</xm:f>
          </x14:formula1>
          <xm:sqref>L2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A2C1E-0ACE-4861-A711-C96A73044054}">
  <sheetPr codeName="Sheet9"/>
  <dimension ref="A1:F120"/>
  <sheetViews>
    <sheetView zoomScale="81" workbookViewId="0">
      <pane xSplit="1" ySplit="1" topLeftCell="B25" activePane="bottomRight" state="frozen"/>
      <selection activeCell="G16" sqref="G16"/>
      <selection pane="topRight" activeCell="G16" sqref="G16"/>
      <selection pane="bottomLeft" activeCell="G16" sqref="G16"/>
      <selection pane="bottomRight" activeCell="D35" sqref="D35"/>
    </sheetView>
  </sheetViews>
  <sheetFormatPr defaultRowHeight="14.4" x14ac:dyDescent="0.3"/>
  <cols>
    <col min="1" max="1" width="10.33203125" style="8" bestFit="1" customWidth="1"/>
  </cols>
  <sheetData>
    <row r="1" spans="1:6" x14ac:dyDescent="0.3">
      <c r="A1" s="8" t="s">
        <v>26</v>
      </c>
      <c r="B1" t="s">
        <v>27</v>
      </c>
      <c r="C1" t="s">
        <v>10</v>
      </c>
      <c r="D1" t="s">
        <v>376</v>
      </c>
      <c r="E1" t="s">
        <v>352</v>
      </c>
      <c r="F1" t="s">
        <v>34</v>
      </c>
    </row>
    <row r="3" spans="1:6" x14ac:dyDescent="0.3">
      <c r="A3" s="8" t="s">
        <v>355</v>
      </c>
      <c r="B3" t="s">
        <v>323</v>
      </c>
      <c r="C3" t="s">
        <v>356</v>
      </c>
      <c r="D3" t="s">
        <v>357</v>
      </c>
      <c r="E3" t="s">
        <v>277</v>
      </c>
      <c r="F3" t="s">
        <v>358</v>
      </c>
    </row>
    <row r="4" spans="1:6" x14ac:dyDescent="0.3">
      <c r="A4" s="8" t="s">
        <v>359</v>
      </c>
      <c r="B4" t="s">
        <v>360</v>
      </c>
      <c r="C4" t="s">
        <v>361</v>
      </c>
      <c r="D4" t="s">
        <v>362</v>
      </c>
      <c r="E4" t="s">
        <v>277</v>
      </c>
      <c r="F4" t="s">
        <v>363</v>
      </c>
    </row>
    <row r="5" spans="1:6" x14ac:dyDescent="0.3">
      <c r="A5" s="8" t="s">
        <v>364</v>
      </c>
      <c r="B5" t="s">
        <v>365</v>
      </c>
      <c r="C5" t="s">
        <v>366</v>
      </c>
      <c r="D5" t="s">
        <v>367</v>
      </c>
      <c r="E5" t="s">
        <v>277</v>
      </c>
      <c r="F5" t="s">
        <v>368</v>
      </c>
    </row>
    <row r="6" spans="1:6" x14ac:dyDescent="0.3">
      <c r="A6" s="8" t="s">
        <v>364</v>
      </c>
      <c r="B6" t="s">
        <v>369</v>
      </c>
      <c r="C6" t="s">
        <v>370</v>
      </c>
      <c r="D6" t="s">
        <v>371</v>
      </c>
      <c r="E6" t="s">
        <v>277</v>
      </c>
      <c r="F6" t="s">
        <v>372</v>
      </c>
    </row>
    <row r="7" spans="1:6" x14ac:dyDescent="0.3">
      <c r="A7" s="8" t="s">
        <v>364</v>
      </c>
      <c r="B7" t="s">
        <v>323</v>
      </c>
      <c r="C7" t="s">
        <v>373</v>
      </c>
      <c r="D7" t="s">
        <v>374</v>
      </c>
      <c r="E7" t="s">
        <v>277</v>
      </c>
      <c r="F7" t="s">
        <v>375</v>
      </c>
    </row>
    <row r="8" spans="1:6" x14ac:dyDescent="0.3">
      <c r="A8" s="8" t="s">
        <v>273</v>
      </c>
      <c r="B8" t="s">
        <v>274</v>
      </c>
      <c r="C8" t="s">
        <v>275</v>
      </c>
      <c r="D8" t="s">
        <v>276</v>
      </c>
      <c r="E8" t="s">
        <v>277</v>
      </c>
      <c r="F8" t="s">
        <v>278</v>
      </c>
    </row>
    <row r="9" spans="1:6" x14ac:dyDescent="0.3">
      <c r="A9" s="8" t="s">
        <v>273</v>
      </c>
      <c r="B9" t="s">
        <v>279</v>
      </c>
      <c r="C9" t="s">
        <v>280</v>
      </c>
      <c r="D9" t="s">
        <v>281</v>
      </c>
      <c r="E9" t="s">
        <v>277</v>
      </c>
      <c r="F9" t="s">
        <v>282</v>
      </c>
    </row>
    <row r="10" spans="1:6" x14ac:dyDescent="0.3">
      <c r="A10" s="8" t="s">
        <v>283</v>
      </c>
      <c r="B10" t="s">
        <v>274</v>
      </c>
      <c r="C10" t="s">
        <v>284</v>
      </c>
      <c r="D10" t="s">
        <v>285</v>
      </c>
      <c r="E10" t="s">
        <v>277</v>
      </c>
      <c r="F10" t="s">
        <v>286</v>
      </c>
    </row>
    <row r="11" spans="1:6" x14ac:dyDescent="0.3">
      <c r="A11" s="8" t="s">
        <v>283</v>
      </c>
      <c r="B11" t="s">
        <v>274</v>
      </c>
      <c r="C11" t="s">
        <v>287</v>
      </c>
      <c r="D11" t="s">
        <v>288</v>
      </c>
      <c r="E11" t="s">
        <v>277</v>
      </c>
      <c r="F11" t="s">
        <v>289</v>
      </c>
    </row>
    <row r="12" spans="1:6" x14ac:dyDescent="0.3">
      <c r="A12" s="8" t="s">
        <v>290</v>
      </c>
      <c r="B12" t="s">
        <v>291</v>
      </c>
      <c r="C12" t="s">
        <v>292</v>
      </c>
      <c r="D12" t="s">
        <v>293</v>
      </c>
      <c r="E12" t="s">
        <v>277</v>
      </c>
      <c r="F12" t="s">
        <v>294</v>
      </c>
    </row>
    <row r="13" spans="1:6" x14ac:dyDescent="0.3">
      <c r="A13" s="8" t="s">
        <v>290</v>
      </c>
      <c r="B13" t="s">
        <v>295</v>
      </c>
      <c r="C13" t="s">
        <v>296</v>
      </c>
      <c r="D13" t="s">
        <v>297</v>
      </c>
      <c r="E13" t="s">
        <v>277</v>
      </c>
      <c r="F13" t="s">
        <v>298</v>
      </c>
    </row>
    <row r="14" spans="1:6" x14ac:dyDescent="0.3">
      <c r="A14" s="8" t="s">
        <v>299</v>
      </c>
      <c r="B14" t="s">
        <v>300</v>
      </c>
      <c r="C14" t="s">
        <v>301</v>
      </c>
      <c r="D14" t="s">
        <v>302</v>
      </c>
      <c r="E14" t="s">
        <v>277</v>
      </c>
      <c r="F14" t="s">
        <v>303</v>
      </c>
    </row>
    <row r="15" spans="1:6" x14ac:dyDescent="0.3">
      <c r="A15" s="8" t="s">
        <v>299</v>
      </c>
      <c r="B15" t="s">
        <v>279</v>
      </c>
      <c r="C15" t="s">
        <v>304</v>
      </c>
      <c r="D15" t="s">
        <v>305</v>
      </c>
      <c r="E15" t="s">
        <v>277</v>
      </c>
      <c r="F15" t="s">
        <v>306</v>
      </c>
    </row>
    <row r="16" spans="1:6" x14ac:dyDescent="0.3">
      <c r="A16" s="8" t="s">
        <v>299</v>
      </c>
      <c r="B16" t="s">
        <v>291</v>
      </c>
      <c r="C16" t="s">
        <v>307</v>
      </c>
      <c r="D16" t="s">
        <v>308</v>
      </c>
      <c r="E16" t="s">
        <v>277</v>
      </c>
      <c r="F16" t="s">
        <v>309</v>
      </c>
    </row>
    <row r="17" spans="1:6" x14ac:dyDescent="0.3">
      <c r="A17" s="8" t="s">
        <v>310</v>
      </c>
      <c r="B17" t="s">
        <v>311</v>
      </c>
      <c r="C17" t="s">
        <v>312</v>
      </c>
      <c r="D17" t="s">
        <v>313</v>
      </c>
      <c r="E17" t="s">
        <v>277</v>
      </c>
      <c r="F17" t="s">
        <v>314</v>
      </c>
    </row>
    <row r="18" spans="1:6" x14ac:dyDescent="0.3">
      <c r="A18" s="8" t="s">
        <v>310</v>
      </c>
      <c r="B18" t="s">
        <v>315</v>
      </c>
      <c r="C18" t="s">
        <v>316</v>
      </c>
      <c r="D18" t="s">
        <v>317</v>
      </c>
      <c r="E18" t="s">
        <v>277</v>
      </c>
      <c r="F18" t="s">
        <v>318</v>
      </c>
    </row>
    <row r="19" spans="1:6" x14ac:dyDescent="0.3">
      <c r="A19" s="8" t="s">
        <v>310</v>
      </c>
      <c r="B19" t="s">
        <v>315</v>
      </c>
      <c r="C19" t="s">
        <v>319</v>
      </c>
      <c r="D19" t="s">
        <v>320</v>
      </c>
      <c r="E19" t="s">
        <v>277</v>
      </c>
      <c r="F19" t="s">
        <v>321</v>
      </c>
    </row>
    <row r="20" spans="1:6" x14ac:dyDescent="0.3">
      <c r="A20" s="8" t="s">
        <v>322</v>
      </c>
      <c r="B20" t="s">
        <v>323</v>
      </c>
      <c r="C20" t="s">
        <v>324</v>
      </c>
      <c r="D20" t="s">
        <v>325</v>
      </c>
      <c r="E20" t="s">
        <v>277</v>
      </c>
      <c r="F20" t="s">
        <v>326</v>
      </c>
    </row>
    <row r="21" spans="1:6" x14ac:dyDescent="0.3">
      <c r="A21" s="8" t="s">
        <v>327</v>
      </c>
      <c r="B21" t="s">
        <v>328</v>
      </c>
      <c r="C21" t="s">
        <v>329</v>
      </c>
      <c r="D21" t="s">
        <v>330</v>
      </c>
      <c r="E21" t="s">
        <v>277</v>
      </c>
      <c r="F21" t="s">
        <v>331</v>
      </c>
    </row>
    <row r="22" spans="1:6" x14ac:dyDescent="0.3">
      <c r="A22" s="8" t="s">
        <v>332</v>
      </c>
      <c r="B22" t="s">
        <v>323</v>
      </c>
      <c r="C22" t="s">
        <v>333</v>
      </c>
      <c r="D22" t="s">
        <v>334</v>
      </c>
      <c r="E22" t="s">
        <v>277</v>
      </c>
      <c r="F22" t="s">
        <v>335</v>
      </c>
    </row>
    <row r="23" spans="1:6" x14ac:dyDescent="0.3">
      <c r="A23" s="8" t="s">
        <v>336</v>
      </c>
      <c r="B23" t="s">
        <v>337</v>
      </c>
      <c r="C23" t="s">
        <v>338</v>
      </c>
      <c r="D23" t="s">
        <v>339</v>
      </c>
      <c r="E23" t="s">
        <v>277</v>
      </c>
      <c r="F23" t="s">
        <v>340</v>
      </c>
    </row>
    <row r="24" spans="1:6" x14ac:dyDescent="0.3">
      <c r="A24" s="8" t="s">
        <v>341</v>
      </c>
      <c r="B24" t="s">
        <v>342</v>
      </c>
      <c r="C24" t="s">
        <v>343</v>
      </c>
      <c r="D24" t="s">
        <v>344</v>
      </c>
      <c r="E24" t="s">
        <v>277</v>
      </c>
      <c r="F24" t="s">
        <v>345</v>
      </c>
    </row>
    <row r="25" spans="1:6" x14ac:dyDescent="0.3">
      <c r="A25" s="8" t="s">
        <v>346</v>
      </c>
      <c r="B25" t="s">
        <v>377</v>
      </c>
      <c r="C25">
        <v>-3015</v>
      </c>
      <c r="D25">
        <v>3015</v>
      </c>
      <c r="E25" t="s">
        <v>347</v>
      </c>
      <c r="F25" t="s">
        <v>378</v>
      </c>
    </row>
    <row r="26" spans="1:6" x14ac:dyDescent="0.3">
      <c r="A26" s="8" t="s">
        <v>346</v>
      </c>
      <c r="B26" t="s">
        <v>379</v>
      </c>
      <c r="C26">
        <v>-60</v>
      </c>
      <c r="D26">
        <v>60</v>
      </c>
      <c r="E26" t="s">
        <v>347</v>
      </c>
      <c r="F26" t="s">
        <v>380</v>
      </c>
    </row>
    <row r="27" spans="1:6" x14ac:dyDescent="0.3">
      <c r="A27" s="8" t="s">
        <v>348</v>
      </c>
      <c r="B27" t="s">
        <v>381</v>
      </c>
      <c r="C27">
        <v>-1045</v>
      </c>
      <c r="D27">
        <v>1045</v>
      </c>
      <c r="E27" t="s">
        <v>347</v>
      </c>
      <c r="F27" t="s">
        <v>382</v>
      </c>
    </row>
    <row r="28" spans="1:6" x14ac:dyDescent="0.3">
      <c r="A28" s="8" t="s">
        <v>349</v>
      </c>
      <c r="B28" t="s">
        <v>383</v>
      </c>
      <c r="C28">
        <v>1000</v>
      </c>
      <c r="D28">
        <v>-1000</v>
      </c>
      <c r="E28" t="s">
        <v>347</v>
      </c>
      <c r="F28" t="s">
        <v>384</v>
      </c>
    </row>
    <row r="29" spans="1:6" x14ac:dyDescent="0.3">
      <c r="A29" s="8">
        <v>45237</v>
      </c>
      <c r="B29" t="s">
        <v>385</v>
      </c>
      <c r="C29">
        <v>1383</v>
      </c>
      <c r="D29">
        <v>-1383</v>
      </c>
      <c r="E29" t="s">
        <v>347</v>
      </c>
      <c r="F29" t="s">
        <v>386</v>
      </c>
    </row>
    <row r="30" spans="1:6" x14ac:dyDescent="0.3">
      <c r="A30" s="8">
        <v>45206</v>
      </c>
      <c r="B30" t="s">
        <v>387</v>
      </c>
      <c r="C30">
        <v>-1221.95</v>
      </c>
      <c r="D30">
        <v>1221.95</v>
      </c>
      <c r="E30" t="s">
        <v>347</v>
      </c>
      <c r="F30" t="s">
        <v>388</v>
      </c>
    </row>
    <row r="31" spans="1:6" x14ac:dyDescent="0.3">
      <c r="A31" s="8">
        <v>45176</v>
      </c>
      <c r="B31" t="s">
        <v>389</v>
      </c>
      <c r="C31">
        <v>-566.64</v>
      </c>
      <c r="D31">
        <v>566.64</v>
      </c>
      <c r="E31" t="s">
        <v>347</v>
      </c>
      <c r="F31" t="s">
        <v>390</v>
      </c>
    </row>
    <row r="32" spans="1:6" x14ac:dyDescent="0.3">
      <c r="A32" s="8">
        <v>45053</v>
      </c>
      <c r="B32" t="s">
        <v>391</v>
      </c>
      <c r="C32">
        <v>406</v>
      </c>
      <c r="D32">
        <v>-406</v>
      </c>
      <c r="E32" t="s">
        <v>347</v>
      </c>
      <c r="F32" t="s">
        <v>392</v>
      </c>
    </row>
    <row r="33" spans="1:6" x14ac:dyDescent="0.3">
      <c r="A33" s="8">
        <v>45023</v>
      </c>
      <c r="B33" t="s">
        <v>393</v>
      </c>
      <c r="C33">
        <v>-1611</v>
      </c>
      <c r="D33">
        <v>1611</v>
      </c>
      <c r="E33" t="s">
        <v>347</v>
      </c>
      <c r="F33" t="s">
        <v>394</v>
      </c>
    </row>
    <row r="34" spans="1:6" x14ac:dyDescent="0.3">
      <c r="A34" s="8">
        <v>44992</v>
      </c>
      <c r="B34" t="s">
        <v>395</v>
      </c>
      <c r="C34">
        <v>26344</v>
      </c>
      <c r="D34">
        <v>-26344</v>
      </c>
      <c r="E34" t="s">
        <v>347</v>
      </c>
      <c r="F34" t="s">
        <v>396</v>
      </c>
    </row>
    <row r="35" spans="1:6" x14ac:dyDescent="0.3">
      <c r="A35" s="8">
        <v>44992</v>
      </c>
      <c r="B35" t="s">
        <v>397</v>
      </c>
      <c r="C35">
        <v>-350</v>
      </c>
      <c r="D35">
        <v>350</v>
      </c>
      <c r="E35" t="s">
        <v>347</v>
      </c>
      <c r="F35" t="s">
        <v>398</v>
      </c>
    </row>
    <row r="36" spans="1:6" x14ac:dyDescent="0.3">
      <c r="A36" s="8">
        <v>44992</v>
      </c>
      <c r="B36" t="s">
        <v>399</v>
      </c>
      <c r="C36">
        <v>-1147</v>
      </c>
      <c r="D36">
        <v>1147</v>
      </c>
      <c r="E36" t="s">
        <v>347</v>
      </c>
      <c r="F36" t="s">
        <v>400</v>
      </c>
    </row>
    <row r="37" spans="1:6" x14ac:dyDescent="0.3">
      <c r="A37" s="8">
        <v>44992</v>
      </c>
      <c r="B37" t="s">
        <v>401</v>
      </c>
      <c r="C37">
        <v>-990</v>
      </c>
      <c r="D37">
        <v>990</v>
      </c>
      <c r="E37" t="s">
        <v>347</v>
      </c>
      <c r="F37" t="s">
        <v>402</v>
      </c>
    </row>
    <row r="38" spans="1:6" x14ac:dyDescent="0.3">
      <c r="A38" s="8">
        <v>44992</v>
      </c>
      <c r="B38" t="s">
        <v>403</v>
      </c>
      <c r="C38">
        <v>-358</v>
      </c>
      <c r="D38">
        <v>358</v>
      </c>
      <c r="E38" t="s">
        <v>347</v>
      </c>
      <c r="F38" t="s">
        <v>404</v>
      </c>
    </row>
    <row r="39" spans="1:6" x14ac:dyDescent="0.3">
      <c r="A39" s="8">
        <v>44992</v>
      </c>
      <c r="B39" t="s">
        <v>405</v>
      </c>
      <c r="C39">
        <v>-215</v>
      </c>
      <c r="D39">
        <v>215</v>
      </c>
      <c r="E39" t="s">
        <v>347</v>
      </c>
      <c r="F39" t="s">
        <v>406</v>
      </c>
    </row>
    <row r="40" spans="1:6" x14ac:dyDescent="0.3">
      <c r="A40" s="8">
        <v>44933</v>
      </c>
      <c r="B40" t="s">
        <v>407</v>
      </c>
      <c r="C40">
        <v>-1010</v>
      </c>
      <c r="D40">
        <v>1010</v>
      </c>
      <c r="E40" t="s">
        <v>347</v>
      </c>
      <c r="F40" t="s">
        <v>408</v>
      </c>
    </row>
    <row r="41" spans="1:6" x14ac:dyDescent="0.3">
      <c r="A41" s="8">
        <v>44933</v>
      </c>
      <c r="B41" t="s">
        <v>409</v>
      </c>
      <c r="C41">
        <v>-406</v>
      </c>
      <c r="D41">
        <v>406</v>
      </c>
      <c r="E41" t="s">
        <v>347</v>
      </c>
      <c r="F41" t="s">
        <v>410</v>
      </c>
    </row>
    <row r="42" spans="1:6" x14ac:dyDescent="0.3">
      <c r="A42" s="8">
        <v>44933</v>
      </c>
      <c r="B42" t="s">
        <v>411</v>
      </c>
      <c r="C42">
        <v>-577</v>
      </c>
      <c r="D42">
        <v>577</v>
      </c>
      <c r="E42" t="s">
        <v>347</v>
      </c>
      <c r="F42" t="s">
        <v>412</v>
      </c>
    </row>
    <row r="43" spans="1:6" x14ac:dyDescent="0.3">
      <c r="A43" s="8">
        <v>44933</v>
      </c>
      <c r="B43" t="s">
        <v>411</v>
      </c>
      <c r="C43">
        <v>-828</v>
      </c>
      <c r="D43">
        <v>828</v>
      </c>
      <c r="E43" t="s">
        <v>347</v>
      </c>
      <c r="F43" t="s">
        <v>413</v>
      </c>
    </row>
    <row r="44" spans="1:6" x14ac:dyDescent="0.3">
      <c r="A44" s="8">
        <v>44933</v>
      </c>
      <c r="B44" t="s">
        <v>411</v>
      </c>
      <c r="C44">
        <v>-731</v>
      </c>
      <c r="D44">
        <v>731</v>
      </c>
      <c r="E44" t="s">
        <v>347</v>
      </c>
      <c r="F44" t="s">
        <v>414</v>
      </c>
    </row>
    <row r="45" spans="1:6" x14ac:dyDescent="0.3">
      <c r="A45" s="8">
        <v>44933</v>
      </c>
      <c r="B45" t="s">
        <v>415</v>
      </c>
      <c r="C45">
        <v>-6960</v>
      </c>
      <c r="D45">
        <v>6960</v>
      </c>
      <c r="E45" t="s">
        <v>347</v>
      </c>
      <c r="F45" t="s">
        <v>416</v>
      </c>
    </row>
    <row r="46" spans="1:6" x14ac:dyDescent="0.3">
      <c r="A46" s="8">
        <v>44933</v>
      </c>
      <c r="B46" t="s">
        <v>417</v>
      </c>
      <c r="C46">
        <v>-1092</v>
      </c>
      <c r="D46">
        <v>1092</v>
      </c>
      <c r="E46" t="s">
        <v>347</v>
      </c>
      <c r="F46" t="s">
        <v>418</v>
      </c>
    </row>
    <row r="47" spans="1:6" x14ac:dyDescent="0.3">
      <c r="A47" s="8" t="s">
        <v>350</v>
      </c>
      <c r="B47" t="s">
        <v>419</v>
      </c>
      <c r="C47">
        <v>-439</v>
      </c>
      <c r="D47">
        <v>439</v>
      </c>
      <c r="E47" t="s">
        <v>347</v>
      </c>
      <c r="F47" t="s">
        <v>420</v>
      </c>
    </row>
    <row r="48" spans="1:6" x14ac:dyDescent="0.3">
      <c r="A48" s="8" t="s">
        <v>350</v>
      </c>
      <c r="B48" t="s">
        <v>421</v>
      </c>
      <c r="C48">
        <v>-863.1</v>
      </c>
      <c r="D48">
        <v>863.1</v>
      </c>
      <c r="E48" t="s">
        <v>347</v>
      </c>
      <c r="F48" t="s">
        <v>422</v>
      </c>
    </row>
    <row r="49" spans="1:6" x14ac:dyDescent="0.3">
      <c r="A49" s="8" t="s">
        <v>350</v>
      </c>
      <c r="B49" t="s">
        <v>423</v>
      </c>
      <c r="C49">
        <v>-534</v>
      </c>
      <c r="D49">
        <v>534</v>
      </c>
      <c r="E49" t="s">
        <v>347</v>
      </c>
      <c r="F49" t="s">
        <v>424</v>
      </c>
    </row>
    <row r="50" spans="1:6" x14ac:dyDescent="0.3">
      <c r="A50" s="8" t="s">
        <v>350</v>
      </c>
      <c r="B50" t="s">
        <v>425</v>
      </c>
      <c r="C50">
        <v>-4317.3</v>
      </c>
      <c r="D50">
        <v>4317.3</v>
      </c>
      <c r="E50" t="s">
        <v>347</v>
      </c>
      <c r="F50" t="s">
        <v>426</v>
      </c>
    </row>
    <row r="51" spans="1:6" x14ac:dyDescent="0.3">
      <c r="A51" s="8" t="s">
        <v>350</v>
      </c>
      <c r="B51" t="s">
        <v>427</v>
      </c>
      <c r="C51">
        <v>-275</v>
      </c>
      <c r="D51">
        <v>275</v>
      </c>
      <c r="E51" t="s">
        <v>347</v>
      </c>
      <c r="F51" t="s">
        <v>428</v>
      </c>
    </row>
    <row r="52" spans="1:6" x14ac:dyDescent="0.3">
      <c r="A52" s="8" t="s">
        <v>350</v>
      </c>
      <c r="B52" t="s">
        <v>429</v>
      </c>
      <c r="C52">
        <v>-2023.6</v>
      </c>
      <c r="D52">
        <v>2023.6</v>
      </c>
      <c r="E52" t="s">
        <v>347</v>
      </c>
      <c r="F52" t="s">
        <v>430</v>
      </c>
    </row>
    <row r="53" spans="1:6" x14ac:dyDescent="0.3">
      <c r="A53" s="8" t="s">
        <v>351</v>
      </c>
      <c r="B53" t="s">
        <v>431</v>
      </c>
      <c r="C53">
        <v>-1617</v>
      </c>
      <c r="D53">
        <v>1617</v>
      </c>
      <c r="E53" t="s">
        <v>347</v>
      </c>
      <c r="F53" t="s">
        <v>432</v>
      </c>
    </row>
    <row r="54" spans="1:6" x14ac:dyDescent="0.3">
      <c r="A54"/>
    </row>
    <row r="55" spans="1:6" x14ac:dyDescent="0.3">
      <c r="A55"/>
    </row>
    <row r="56" spans="1:6" x14ac:dyDescent="0.3">
      <c r="A56"/>
    </row>
    <row r="57" spans="1:6" x14ac:dyDescent="0.3">
      <c r="A57"/>
    </row>
    <row r="58" spans="1:6" x14ac:dyDescent="0.3">
      <c r="A58"/>
    </row>
    <row r="59" spans="1:6" x14ac:dyDescent="0.3">
      <c r="A59"/>
    </row>
    <row r="60" spans="1:6" x14ac:dyDescent="0.3">
      <c r="A60"/>
    </row>
    <row r="61" spans="1:6" x14ac:dyDescent="0.3">
      <c r="A61"/>
    </row>
    <row r="62" spans="1:6" x14ac:dyDescent="0.3">
      <c r="A62"/>
    </row>
    <row r="63" spans="1:6" x14ac:dyDescent="0.3">
      <c r="A63"/>
    </row>
    <row r="64" spans="1:6" x14ac:dyDescent="0.3">
      <c r="A64"/>
    </row>
    <row r="65" spans="1:1" x14ac:dyDescent="0.3">
      <c r="A65"/>
    </row>
    <row r="66" spans="1:1" x14ac:dyDescent="0.3">
      <c r="A66"/>
    </row>
    <row r="67" spans="1:1" x14ac:dyDescent="0.3">
      <c r="A67"/>
    </row>
    <row r="68" spans="1:1" x14ac:dyDescent="0.3">
      <c r="A68"/>
    </row>
    <row r="69" spans="1:1" x14ac:dyDescent="0.3">
      <c r="A69"/>
    </row>
    <row r="70" spans="1:1" x14ac:dyDescent="0.3">
      <c r="A70"/>
    </row>
    <row r="71" spans="1:1" x14ac:dyDescent="0.3">
      <c r="A71"/>
    </row>
    <row r="72" spans="1:1" x14ac:dyDescent="0.3">
      <c r="A72"/>
    </row>
    <row r="73" spans="1:1" x14ac:dyDescent="0.3">
      <c r="A73"/>
    </row>
    <row r="74" spans="1:1" x14ac:dyDescent="0.3">
      <c r="A74"/>
    </row>
    <row r="75" spans="1:1" x14ac:dyDescent="0.3">
      <c r="A75"/>
    </row>
    <row r="76" spans="1:1" x14ac:dyDescent="0.3">
      <c r="A76"/>
    </row>
    <row r="77" spans="1:1" x14ac:dyDescent="0.3">
      <c r="A77"/>
    </row>
    <row r="78" spans="1:1" x14ac:dyDescent="0.3">
      <c r="A78"/>
    </row>
    <row r="79" spans="1:1" x14ac:dyDescent="0.3">
      <c r="A79"/>
    </row>
    <row r="80" spans="1:1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65666-4F97-4F3D-A45F-6CACBC00A876}">
  <sheetPr codeName="Sheet7"/>
  <dimension ref="A1:K1172"/>
  <sheetViews>
    <sheetView zoomScale="81" workbookViewId="0">
      <selection activeCell="A24" sqref="A24:K40"/>
    </sheetView>
  </sheetViews>
  <sheetFormatPr defaultRowHeight="14.4" x14ac:dyDescent="0.3"/>
  <cols>
    <col min="1" max="1" width="14.21875" customWidth="1"/>
    <col min="2" max="2" width="18.6640625" style="6" customWidth="1"/>
    <col min="3" max="3" width="17.33203125" customWidth="1"/>
    <col min="4" max="4" width="8.88671875" customWidth="1"/>
    <col min="5" max="6" width="19.109375" customWidth="1"/>
    <col min="7" max="7" width="21.44140625" customWidth="1"/>
    <col min="8" max="8" width="11.5546875" style="5" bestFit="1" customWidth="1"/>
    <col min="9" max="9" width="13.5546875" customWidth="1"/>
  </cols>
  <sheetData>
    <row r="1" spans="1:11" x14ac:dyDescent="0.3">
      <c r="A1" s="8"/>
      <c r="B1"/>
      <c r="H1"/>
    </row>
    <row r="2" spans="1:11" x14ac:dyDescent="0.3">
      <c r="A2" s="21" t="s">
        <v>355</v>
      </c>
      <c r="B2" t="s">
        <v>323</v>
      </c>
      <c r="F2" t="s">
        <v>356</v>
      </c>
      <c r="H2"/>
      <c r="I2" t="s">
        <v>357</v>
      </c>
      <c r="J2" t="s">
        <v>277</v>
      </c>
      <c r="K2" t="s">
        <v>358</v>
      </c>
    </row>
    <row r="3" spans="1:11" x14ac:dyDescent="0.3">
      <c r="A3" s="21" t="s">
        <v>359</v>
      </c>
      <c r="B3" t="s">
        <v>360</v>
      </c>
      <c r="F3" t="s">
        <v>361</v>
      </c>
      <c r="H3"/>
      <c r="I3" t="s">
        <v>362</v>
      </c>
      <c r="J3" t="s">
        <v>277</v>
      </c>
      <c r="K3" t="s">
        <v>363</v>
      </c>
    </row>
    <row r="4" spans="1:11" x14ac:dyDescent="0.3">
      <c r="A4" s="21" t="s">
        <v>364</v>
      </c>
      <c r="B4" t="s">
        <v>365</v>
      </c>
      <c r="F4" t="s">
        <v>366</v>
      </c>
      <c r="H4"/>
      <c r="I4" t="s">
        <v>367</v>
      </c>
      <c r="J4" t="s">
        <v>277</v>
      </c>
      <c r="K4" t="s">
        <v>368</v>
      </c>
    </row>
    <row r="5" spans="1:11" x14ac:dyDescent="0.3">
      <c r="A5" s="21" t="s">
        <v>364</v>
      </c>
      <c r="B5" t="s">
        <v>369</v>
      </c>
      <c r="F5" t="s">
        <v>370</v>
      </c>
      <c r="H5"/>
      <c r="I5" t="s">
        <v>371</v>
      </c>
      <c r="J5" t="s">
        <v>277</v>
      </c>
      <c r="K5" t="s">
        <v>372</v>
      </c>
    </row>
    <row r="6" spans="1:11" x14ac:dyDescent="0.3">
      <c r="A6" s="21" t="s">
        <v>364</v>
      </c>
      <c r="B6" t="s">
        <v>323</v>
      </c>
      <c r="F6" t="s">
        <v>373</v>
      </c>
      <c r="H6"/>
      <c r="I6" t="s">
        <v>374</v>
      </c>
      <c r="J6" t="s">
        <v>277</v>
      </c>
      <c r="K6" t="s">
        <v>375</v>
      </c>
    </row>
    <row r="7" spans="1:11" x14ac:dyDescent="0.3">
      <c r="A7" t="s">
        <v>273</v>
      </c>
      <c r="B7" t="s">
        <v>274</v>
      </c>
      <c r="F7" t="s">
        <v>275</v>
      </c>
      <c r="H7"/>
      <c r="I7" t="s">
        <v>276</v>
      </c>
      <c r="J7" t="s">
        <v>277</v>
      </c>
      <c r="K7" t="s">
        <v>278</v>
      </c>
    </row>
    <row r="8" spans="1:11" x14ac:dyDescent="0.3">
      <c r="A8" t="s">
        <v>273</v>
      </c>
      <c r="B8" t="s">
        <v>279</v>
      </c>
      <c r="F8" t="s">
        <v>280</v>
      </c>
      <c r="H8"/>
      <c r="I8" t="s">
        <v>281</v>
      </c>
      <c r="J8" t="s">
        <v>277</v>
      </c>
      <c r="K8" t="s">
        <v>282</v>
      </c>
    </row>
    <row r="9" spans="1:11" x14ac:dyDescent="0.3">
      <c r="A9" t="s">
        <v>283</v>
      </c>
      <c r="B9" t="s">
        <v>274</v>
      </c>
      <c r="F9" t="s">
        <v>284</v>
      </c>
      <c r="H9"/>
      <c r="I9" t="s">
        <v>285</v>
      </c>
      <c r="J9" t="s">
        <v>277</v>
      </c>
      <c r="K9" t="s">
        <v>286</v>
      </c>
    </row>
    <row r="10" spans="1:11" x14ac:dyDescent="0.3">
      <c r="A10" t="s">
        <v>283</v>
      </c>
      <c r="B10" t="s">
        <v>274</v>
      </c>
      <c r="F10" t="s">
        <v>287</v>
      </c>
      <c r="H10"/>
      <c r="I10" t="s">
        <v>288</v>
      </c>
      <c r="J10" t="s">
        <v>277</v>
      </c>
      <c r="K10" t="s">
        <v>289</v>
      </c>
    </row>
    <row r="11" spans="1:11" x14ac:dyDescent="0.3">
      <c r="A11" t="s">
        <v>290</v>
      </c>
      <c r="B11" t="s">
        <v>291</v>
      </c>
      <c r="F11" t="s">
        <v>292</v>
      </c>
      <c r="H11"/>
      <c r="I11" t="s">
        <v>293</v>
      </c>
      <c r="J11" t="s">
        <v>277</v>
      </c>
      <c r="K11" t="s">
        <v>294</v>
      </c>
    </row>
    <row r="12" spans="1:11" x14ac:dyDescent="0.3">
      <c r="A12" t="s">
        <v>290</v>
      </c>
      <c r="B12" t="s">
        <v>295</v>
      </c>
      <c r="F12" t="s">
        <v>296</v>
      </c>
      <c r="H12"/>
      <c r="I12" t="s">
        <v>297</v>
      </c>
      <c r="J12" t="s">
        <v>277</v>
      </c>
      <c r="K12" t="s">
        <v>298</v>
      </c>
    </row>
    <row r="13" spans="1:11" x14ac:dyDescent="0.3">
      <c r="A13" t="s">
        <v>299</v>
      </c>
      <c r="B13" t="s">
        <v>300</v>
      </c>
      <c r="F13" t="s">
        <v>301</v>
      </c>
      <c r="H13"/>
      <c r="I13" t="s">
        <v>302</v>
      </c>
      <c r="J13" t="s">
        <v>277</v>
      </c>
      <c r="K13" t="s">
        <v>303</v>
      </c>
    </row>
    <row r="14" spans="1:11" x14ac:dyDescent="0.3">
      <c r="A14" t="s">
        <v>299</v>
      </c>
      <c r="B14" t="s">
        <v>279</v>
      </c>
      <c r="F14" t="s">
        <v>304</v>
      </c>
      <c r="H14"/>
      <c r="I14" t="s">
        <v>305</v>
      </c>
      <c r="J14" t="s">
        <v>277</v>
      </c>
      <c r="K14" t="s">
        <v>306</v>
      </c>
    </row>
    <row r="15" spans="1:11" x14ac:dyDescent="0.3">
      <c r="A15" t="s">
        <v>299</v>
      </c>
      <c r="B15" t="s">
        <v>291</v>
      </c>
      <c r="F15" t="s">
        <v>307</v>
      </c>
      <c r="H15"/>
      <c r="I15" t="s">
        <v>308</v>
      </c>
      <c r="J15" t="s">
        <v>277</v>
      </c>
      <c r="K15" t="s">
        <v>309</v>
      </c>
    </row>
    <row r="16" spans="1:11" x14ac:dyDescent="0.3">
      <c r="A16" t="s">
        <v>310</v>
      </c>
      <c r="B16" t="s">
        <v>311</v>
      </c>
      <c r="F16" t="s">
        <v>312</v>
      </c>
      <c r="H16"/>
      <c r="I16" t="s">
        <v>313</v>
      </c>
      <c r="J16" t="s">
        <v>277</v>
      </c>
      <c r="K16" t="s">
        <v>314</v>
      </c>
    </row>
    <row r="17" spans="1:11" x14ac:dyDescent="0.3">
      <c r="A17" t="s">
        <v>310</v>
      </c>
      <c r="B17" t="s">
        <v>315</v>
      </c>
      <c r="F17" t="s">
        <v>316</v>
      </c>
      <c r="H17"/>
      <c r="I17" t="s">
        <v>317</v>
      </c>
      <c r="J17" t="s">
        <v>277</v>
      </c>
      <c r="K17" t="s">
        <v>318</v>
      </c>
    </row>
    <row r="18" spans="1:11" x14ac:dyDescent="0.3">
      <c r="A18" t="s">
        <v>310</v>
      </c>
      <c r="B18" t="s">
        <v>315</v>
      </c>
      <c r="F18" t="s">
        <v>319</v>
      </c>
      <c r="H18"/>
      <c r="I18" t="s">
        <v>320</v>
      </c>
      <c r="J18" t="s">
        <v>277</v>
      </c>
      <c r="K18" t="s">
        <v>321</v>
      </c>
    </row>
    <row r="19" spans="1:11" x14ac:dyDescent="0.3">
      <c r="A19" t="s">
        <v>322</v>
      </c>
      <c r="B19" t="s">
        <v>323</v>
      </c>
      <c r="F19" t="s">
        <v>324</v>
      </c>
      <c r="H19"/>
      <c r="I19" t="s">
        <v>325</v>
      </c>
      <c r="J19" t="s">
        <v>277</v>
      </c>
      <c r="K19" t="s">
        <v>326</v>
      </c>
    </row>
    <row r="20" spans="1:11" x14ac:dyDescent="0.3">
      <c r="A20" t="s">
        <v>327</v>
      </c>
      <c r="B20" t="s">
        <v>328</v>
      </c>
      <c r="F20" t="s">
        <v>329</v>
      </c>
      <c r="H20"/>
      <c r="I20" t="s">
        <v>330</v>
      </c>
      <c r="J20" t="s">
        <v>277</v>
      </c>
      <c r="K20" t="s">
        <v>331</v>
      </c>
    </row>
    <row r="21" spans="1:11" x14ac:dyDescent="0.3">
      <c r="A21" t="s">
        <v>332</v>
      </c>
      <c r="B21" t="s">
        <v>323</v>
      </c>
      <c r="F21" t="s">
        <v>333</v>
      </c>
      <c r="H21"/>
      <c r="I21" t="s">
        <v>334</v>
      </c>
      <c r="J21" t="s">
        <v>277</v>
      </c>
      <c r="K21" t="s">
        <v>335</v>
      </c>
    </row>
    <row r="22" spans="1:11" x14ac:dyDescent="0.3">
      <c r="A22" t="s">
        <v>336</v>
      </c>
      <c r="B22" t="s">
        <v>337</v>
      </c>
      <c r="F22" t="s">
        <v>338</v>
      </c>
      <c r="H22"/>
      <c r="I22" t="s">
        <v>339</v>
      </c>
      <c r="J22" t="s">
        <v>277</v>
      </c>
      <c r="K22" t="s">
        <v>340</v>
      </c>
    </row>
    <row r="23" spans="1:11" x14ac:dyDescent="0.3">
      <c r="A23" t="s">
        <v>341</v>
      </c>
      <c r="B23" t="s">
        <v>342</v>
      </c>
      <c r="F23" t="s">
        <v>343</v>
      </c>
      <c r="H23"/>
      <c r="I23" t="s">
        <v>344</v>
      </c>
      <c r="J23" t="s">
        <v>277</v>
      </c>
      <c r="K23" t="s">
        <v>345</v>
      </c>
    </row>
    <row r="24" spans="1:11" x14ac:dyDescent="0.3">
      <c r="B24"/>
      <c r="H24"/>
    </row>
    <row r="25" spans="1:11" x14ac:dyDescent="0.3">
      <c r="B25"/>
      <c r="H25"/>
    </row>
    <row r="26" spans="1:11" x14ac:dyDescent="0.3">
      <c r="B26"/>
      <c r="H26"/>
    </row>
    <row r="27" spans="1:11" x14ac:dyDescent="0.3">
      <c r="B27"/>
      <c r="H27"/>
    </row>
    <row r="28" spans="1:11" x14ac:dyDescent="0.3">
      <c r="B28"/>
      <c r="H28"/>
    </row>
    <row r="29" spans="1:11" x14ac:dyDescent="0.3">
      <c r="B29"/>
      <c r="H29"/>
    </row>
    <row r="30" spans="1:11" x14ac:dyDescent="0.3">
      <c r="B30"/>
      <c r="H30"/>
    </row>
    <row r="31" spans="1:11" x14ac:dyDescent="0.3">
      <c r="B31"/>
      <c r="H31"/>
    </row>
    <row r="32" spans="1:11" x14ac:dyDescent="0.3">
      <c r="B32"/>
      <c r="H32"/>
    </row>
    <row r="33" spans="2:8" x14ac:dyDescent="0.3">
      <c r="B33"/>
      <c r="H33"/>
    </row>
    <row r="34" spans="2:8" x14ac:dyDescent="0.3">
      <c r="B34"/>
      <c r="H34"/>
    </row>
    <row r="35" spans="2:8" x14ac:dyDescent="0.3">
      <c r="B35"/>
      <c r="H35"/>
    </row>
    <row r="36" spans="2:8" x14ac:dyDescent="0.3">
      <c r="B36"/>
      <c r="H36"/>
    </row>
    <row r="37" spans="2:8" x14ac:dyDescent="0.3">
      <c r="B37"/>
      <c r="H37"/>
    </row>
    <row r="38" spans="2:8" x14ac:dyDescent="0.3">
      <c r="B38"/>
      <c r="H38"/>
    </row>
    <row r="39" spans="2:8" x14ac:dyDescent="0.3">
      <c r="B39"/>
      <c r="H39"/>
    </row>
    <row r="40" spans="2:8" x14ac:dyDescent="0.3">
      <c r="B40"/>
      <c r="H40"/>
    </row>
    <row r="41" spans="2:8" x14ac:dyDescent="0.3">
      <c r="B41"/>
      <c r="H41"/>
    </row>
    <row r="42" spans="2:8" x14ac:dyDescent="0.3">
      <c r="B42"/>
      <c r="H42"/>
    </row>
    <row r="43" spans="2:8" x14ac:dyDescent="0.3">
      <c r="B43"/>
      <c r="H43"/>
    </row>
    <row r="44" spans="2:8" x14ac:dyDescent="0.3">
      <c r="B44"/>
      <c r="H44"/>
    </row>
    <row r="45" spans="2:8" x14ac:dyDescent="0.3">
      <c r="B45"/>
      <c r="H45"/>
    </row>
    <row r="46" spans="2:8" x14ac:dyDescent="0.3">
      <c r="B46"/>
      <c r="H46"/>
    </row>
    <row r="47" spans="2:8" x14ac:dyDescent="0.3">
      <c r="B47"/>
      <c r="H47"/>
    </row>
    <row r="48" spans="2:8" x14ac:dyDescent="0.3">
      <c r="B48"/>
      <c r="H48"/>
    </row>
    <row r="49" spans="2:8" x14ac:dyDescent="0.3">
      <c r="B49"/>
      <c r="H49"/>
    </row>
    <row r="50" spans="2:8" x14ac:dyDescent="0.3">
      <c r="B50"/>
      <c r="H50"/>
    </row>
    <row r="51" spans="2:8" x14ac:dyDescent="0.3">
      <c r="B51"/>
      <c r="H51"/>
    </row>
    <row r="52" spans="2:8" x14ac:dyDescent="0.3">
      <c r="B52"/>
      <c r="H52"/>
    </row>
    <row r="53" spans="2:8" x14ac:dyDescent="0.3">
      <c r="B53"/>
      <c r="H53"/>
    </row>
    <row r="54" spans="2:8" x14ac:dyDescent="0.3">
      <c r="B54"/>
      <c r="H54"/>
    </row>
    <row r="55" spans="2:8" x14ac:dyDescent="0.3">
      <c r="B55"/>
      <c r="H55"/>
    </row>
    <row r="56" spans="2:8" x14ac:dyDescent="0.3">
      <c r="B56"/>
      <c r="H56"/>
    </row>
    <row r="57" spans="2:8" x14ac:dyDescent="0.3">
      <c r="B57"/>
      <c r="H57"/>
    </row>
    <row r="58" spans="2:8" x14ac:dyDescent="0.3">
      <c r="B58"/>
      <c r="H58"/>
    </row>
    <row r="59" spans="2:8" x14ac:dyDescent="0.3">
      <c r="B59"/>
      <c r="H59"/>
    </row>
    <row r="60" spans="2:8" x14ac:dyDescent="0.3">
      <c r="B60"/>
      <c r="H60"/>
    </row>
    <row r="61" spans="2:8" x14ac:dyDescent="0.3">
      <c r="B61"/>
      <c r="H61"/>
    </row>
    <row r="62" spans="2:8" x14ac:dyDescent="0.3">
      <c r="B62"/>
      <c r="H62"/>
    </row>
    <row r="63" spans="2:8" x14ac:dyDescent="0.3">
      <c r="B63"/>
      <c r="H63"/>
    </row>
    <row r="64" spans="2:8" x14ac:dyDescent="0.3">
      <c r="B64"/>
      <c r="H64"/>
    </row>
    <row r="65" spans="2:8" x14ac:dyDescent="0.3">
      <c r="B65"/>
      <c r="H65"/>
    </row>
    <row r="66" spans="2:8" x14ac:dyDescent="0.3">
      <c r="B66"/>
      <c r="H66"/>
    </row>
    <row r="67" spans="2:8" x14ac:dyDescent="0.3">
      <c r="B67"/>
      <c r="H67"/>
    </row>
    <row r="68" spans="2:8" x14ac:dyDescent="0.3">
      <c r="B68"/>
      <c r="H68"/>
    </row>
    <row r="69" spans="2:8" x14ac:dyDescent="0.3">
      <c r="B69"/>
      <c r="H69"/>
    </row>
    <row r="70" spans="2:8" x14ac:dyDescent="0.3">
      <c r="B70"/>
      <c r="H70"/>
    </row>
    <row r="71" spans="2:8" x14ac:dyDescent="0.3">
      <c r="B71"/>
      <c r="H71"/>
    </row>
    <row r="72" spans="2:8" x14ac:dyDescent="0.3">
      <c r="B72"/>
      <c r="H72"/>
    </row>
    <row r="73" spans="2:8" x14ac:dyDescent="0.3">
      <c r="B73"/>
      <c r="H73"/>
    </row>
    <row r="74" spans="2:8" x14ac:dyDescent="0.3">
      <c r="B74"/>
      <c r="H74"/>
    </row>
    <row r="75" spans="2:8" x14ac:dyDescent="0.3">
      <c r="B75"/>
      <c r="H75"/>
    </row>
    <row r="76" spans="2:8" x14ac:dyDescent="0.3">
      <c r="B76"/>
      <c r="H76"/>
    </row>
    <row r="77" spans="2:8" x14ac:dyDescent="0.3">
      <c r="B77"/>
      <c r="H77"/>
    </row>
    <row r="78" spans="2:8" x14ac:dyDescent="0.3">
      <c r="B78"/>
      <c r="H78"/>
    </row>
    <row r="79" spans="2:8" x14ac:dyDescent="0.3">
      <c r="B79"/>
      <c r="H79"/>
    </row>
    <row r="80" spans="2:8" x14ac:dyDescent="0.3">
      <c r="B80"/>
      <c r="H80"/>
    </row>
    <row r="81" spans="2:8" x14ac:dyDescent="0.3">
      <c r="B81"/>
      <c r="H81"/>
    </row>
    <row r="82" spans="2:8" x14ac:dyDescent="0.3">
      <c r="B82"/>
      <c r="H82"/>
    </row>
    <row r="83" spans="2:8" x14ac:dyDescent="0.3">
      <c r="B83"/>
      <c r="H83"/>
    </row>
    <row r="84" spans="2:8" x14ac:dyDescent="0.3">
      <c r="B84"/>
      <c r="H84"/>
    </row>
    <row r="85" spans="2:8" x14ac:dyDescent="0.3">
      <c r="B85"/>
      <c r="H85"/>
    </row>
    <row r="86" spans="2:8" x14ac:dyDescent="0.3">
      <c r="B86"/>
      <c r="H86"/>
    </row>
    <row r="87" spans="2:8" x14ac:dyDescent="0.3">
      <c r="B87"/>
      <c r="H87"/>
    </row>
    <row r="88" spans="2:8" x14ac:dyDescent="0.3">
      <c r="B88"/>
      <c r="H88"/>
    </row>
    <row r="89" spans="2:8" x14ac:dyDescent="0.3">
      <c r="B89"/>
      <c r="H89"/>
    </row>
    <row r="90" spans="2:8" x14ac:dyDescent="0.3">
      <c r="B90"/>
      <c r="H90"/>
    </row>
    <row r="91" spans="2:8" x14ac:dyDescent="0.3">
      <c r="B91"/>
      <c r="H91"/>
    </row>
    <row r="92" spans="2:8" x14ac:dyDescent="0.3">
      <c r="B92"/>
      <c r="H92"/>
    </row>
    <row r="93" spans="2:8" x14ac:dyDescent="0.3">
      <c r="B93"/>
      <c r="H93"/>
    </row>
    <row r="94" spans="2:8" x14ac:dyDescent="0.3">
      <c r="B94"/>
      <c r="H94"/>
    </row>
    <row r="95" spans="2:8" x14ac:dyDescent="0.3">
      <c r="B95"/>
      <c r="H95"/>
    </row>
    <row r="96" spans="2:8" x14ac:dyDescent="0.3">
      <c r="B96"/>
      <c r="H96"/>
    </row>
    <row r="97" spans="2:8" x14ac:dyDescent="0.3">
      <c r="B97"/>
      <c r="H97"/>
    </row>
    <row r="98" spans="2:8" x14ac:dyDescent="0.3">
      <c r="B98"/>
      <c r="H98"/>
    </row>
    <row r="99" spans="2:8" x14ac:dyDescent="0.3">
      <c r="B99"/>
      <c r="H99"/>
    </row>
    <row r="100" spans="2:8" x14ac:dyDescent="0.3">
      <c r="B100"/>
      <c r="H100"/>
    </row>
    <row r="101" spans="2:8" x14ac:dyDescent="0.3">
      <c r="B101"/>
      <c r="H101"/>
    </row>
    <row r="102" spans="2:8" x14ac:dyDescent="0.3">
      <c r="B102"/>
      <c r="H102"/>
    </row>
    <row r="103" spans="2:8" x14ac:dyDescent="0.3">
      <c r="B103"/>
      <c r="H103"/>
    </row>
    <row r="104" spans="2:8" x14ac:dyDescent="0.3">
      <c r="B104"/>
      <c r="H104"/>
    </row>
    <row r="105" spans="2:8" x14ac:dyDescent="0.3">
      <c r="B105"/>
      <c r="H105"/>
    </row>
    <row r="106" spans="2:8" x14ac:dyDescent="0.3">
      <c r="B106"/>
      <c r="H106"/>
    </row>
    <row r="107" spans="2:8" x14ac:dyDescent="0.3">
      <c r="B107"/>
      <c r="H107"/>
    </row>
    <row r="108" spans="2:8" x14ac:dyDescent="0.3">
      <c r="B108"/>
      <c r="H108"/>
    </row>
    <row r="109" spans="2:8" x14ac:dyDescent="0.3">
      <c r="B109"/>
      <c r="H109"/>
    </row>
    <row r="110" spans="2:8" x14ac:dyDescent="0.3">
      <c r="B110"/>
      <c r="H110"/>
    </row>
    <row r="111" spans="2:8" x14ac:dyDescent="0.3">
      <c r="B111"/>
      <c r="H111"/>
    </row>
    <row r="112" spans="2:8" x14ac:dyDescent="0.3">
      <c r="B112"/>
      <c r="H112"/>
    </row>
    <row r="113" spans="2:8" x14ac:dyDescent="0.3">
      <c r="B113"/>
      <c r="H113"/>
    </row>
    <row r="114" spans="2:8" x14ac:dyDescent="0.3">
      <c r="B114"/>
      <c r="H114"/>
    </row>
    <row r="115" spans="2:8" x14ac:dyDescent="0.3">
      <c r="B115"/>
      <c r="H115"/>
    </row>
    <row r="116" spans="2:8" x14ac:dyDescent="0.3">
      <c r="B116"/>
      <c r="H116"/>
    </row>
    <row r="117" spans="2:8" x14ac:dyDescent="0.3">
      <c r="B117"/>
      <c r="H117"/>
    </row>
    <row r="118" spans="2:8" x14ac:dyDescent="0.3">
      <c r="B118"/>
      <c r="H118"/>
    </row>
    <row r="119" spans="2:8" x14ac:dyDescent="0.3">
      <c r="B119"/>
      <c r="H119"/>
    </row>
    <row r="120" spans="2:8" x14ac:dyDescent="0.3">
      <c r="B120"/>
      <c r="H120"/>
    </row>
    <row r="121" spans="2:8" x14ac:dyDescent="0.3">
      <c r="B121"/>
      <c r="H121"/>
    </row>
    <row r="122" spans="2:8" x14ac:dyDescent="0.3">
      <c r="B122"/>
      <c r="H122"/>
    </row>
    <row r="123" spans="2:8" x14ac:dyDescent="0.3">
      <c r="B123"/>
      <c r="H123"/>
    </row>
    <row r="124" spans="2:8" x14ac:dyDescent="0.3">
      <c r="B124"/>
      <c r="H124"/>
    </row>
    <row r="125" spans="2:8" x14ac:dyDescent="0.3">
      <c r="B125"/>
      <c r="H125"/>
    </row>
    <row r="126" spans="2:8" x14ac:dyDescent="0.3">
      <c r="B126"/>
      <c r="H126"/>
    </row>
    <row r="127" spans="2:8" x14ac:dyDescent="0.3">
      <c r="B127"/>
      <c r="H127"/>
    </row>
    <row r="128" spans="2:8" x14ac:dyDescent="0.3">
      <c r="B128"/>
      <c r="H128"/>
    </row>
    <row r="129" spans="2:8" x14ac:dyDescent="0.3">
      <c r="B129"/>
      <c r="H129"/>
    </row>
    <row r="130" spans="2:8" x14ac:dyDescent="0.3">
      <c r="B130"/>
      <c r="H130"/>
    </row>
    <row r="131" spans="2:8" x14ac:dyDescent="0.3">
      <c r="B131"/>
      <c r="H131"/>
    </row>
    <row r="132" spans="2:8" x14ac:dyDescent="0.3">
      <c r="B132"/>
      <c r="H132"/>
    </row>
    <row r="133" spans="2:8" x14ac:dyDescent="0.3">
      <c r="B133"/>
      <c r="H133"/>
    </row>
    <row r="134" spans="2:8" x14ac:dyDescent="0.3">
      <c r="B134"/>
      <c r="H134"/>
    </row>
    <row r="135" spans="2:8" x14ac:dyDescent="0.3">
      <c r="B135"/>
      <c r="H135"/>
    </row>
    <row r="136" spans="2:8" x14ac:dyDescent="0.3">
      <c r="B136"/>
      <c r="H136"/>
    </row>
    <row r="137" spans="2:8" x14ac:dyDescent="0.3">
      <c r="B137"/>
      <c r="H137"/>
    </row>
    <row r="138" spans="2:8" x14ac:dyDescent="0.3">
      <c r="B138"/>
      <c r="H138"/>
    </row>
    <row r="139" spans="2:8" x14ac:dyDescent="0.3">
      <c r="B139"/>
      <c r="H139"/>
    </row>
    <row r="140" spans="2:8" x14ac:dyDescent="0.3">
      <c r="B140"/>
      <c r="H140"/>
    </row>
    <row r="141" spans="2:8" x14ac:dyDescent="0.3">
      <c r="B141"/>
      <c r="H141"/>
    </row>
    <row r="142" spans="2:8" x14ac:dyDescent="0.3">
      <c r="B142"/>
      <c r="H142"/>
    </row>
    <row r="143" spans="2:8" x14ac:dyDescent="0.3">
      <c r="B143"/>
      <c r="H143"/>
    </row>
    <row r="144" spans="2:8" x14ac:dyDescent="0.3">
      <c r="B144"/>
      <c r="H144"/>
    </row>
    <row r="145" spans="2:8" x14ac:dyDescent="0.3">
      <c r="B145"/>
      <c r="H145"/>
    </row>
    <row r="146" spans="2:8" x14ac:dyDescent="0.3">
      <c r="B146"/>
      <c r="H146"/>
    </row>
    <row r="147" spans="2:8" x14ac:dyDescent="0.3">
      <c r="B147"/>
      <c r="H147"/>
    </row>
    <row r="148" spans="2:8" x14ac:dyDescent="0.3">
      <c r="B148"/>
      <c r="H148"/>
    </row>
    <row r="149" spans="2:8" x14ac:dyDescent="0.3">
      <c r="B149"/>
      <c r="H149"/>
    </row>
    <row r="150" spans="2:8" x14ac:dyDescent="0.3">
      <c r="B150"/>
      <c r="H150"/>
    </row>
    <row r="151" spans="2:8" x14ac:dyDescent="0.3">
      <c r="B151"/>
      <c r="H151"/>
    </row>
    <row r="152" spans="2:8" x14ac:dyDescent="0.3">
      <c r="B152"/>
      <c r="H152"/>
    </row>
    <row r="153" spans="2:8" x14ac:dyDescent="0.3">
      <c r="B153"/>
      <c r="H153"/>
    </row>
    <row r="154" spans="2:8" x14ac:dyDescent="0.3">
      <c r="B154"/>
      <c r="H154"/>
    </row>
    <row r="155" spans="2:8" x14ac:dyDescent="0.3">
      <c r="B155"/>
      <c r="H155"/>
    </row>
    <row r="156" spans="2:8" x14ac:dyDescent="0.3">
      <c r="B156"/>
      <c r="H156"/>
    </row>
    <row r="157" spans="2:8" x14ac:dyDescent="0.3">
      <c r="B157"/>
      <c r="H157"/>
    </row>
    <row r="158" spans="2:8" x14ac:dyDescent="0.3">
      <c r="B158"/>
      <c r="H158"/>
    </row>
    <row r="159" spans="2:8" x14ac:dyDescent="0.3">
      <c r="B159"/>
      <c r="H159"/>
    </row>
    <row r="160" spans="2:8" x14ac:dyDescent="0.3">
      <c r="B160"/>
      <c r="H160"/>
    </row>
    <row r="161" spans="2:8" x14ac:dyDescent="0.3">
      <c r="B161"/>
      <c r="H161"/>
    </row>
    <row r="162" spans="2:8" x14ac:dyDescent="0.3">
      <c r="B162"/>
      <c r="H162"/>
    </row>
    <row r="163" spans="2:8" x14ac:dyDescent="0.3">
      <c r="B163"/>
      <c r="H163"/>
    </row>
    <row r="164" spans="2:8" x14ac:dyDescent="0.3">
      <c r="B164"/>
      <c r="H164"/>
    </row>
    <row r="165" spans="2:8" x14ac:dyDescent="0.3">
      <c r="B165"/>
      <c r="H165"/>
    </row>
    <row r="166" spans="2:8" x14ac:dyDescent="0.3">
      <c r="B166"/>
      <c r="H166"/>
    </row>
    <row r="167" spans="2:8" x14ac:dyDescent="0.3">
      <c r="B167"/>
      <c r="H167"/>
    </row>
    <row r="168" spans="2:8" x14ac:dyDescent="0.3">
      <c r="B168"/>
      <c r="H168"/>
    </row>
    <row r="169" spans="2:8" x14ac:dyDescent="0.3">
      <c r="B169"/>
      <c r="H169"/>
    </row>
    <row r="170" spans="2:8" x14ac:dyDescent="0.3">
      <c r="B170"/>
      <c r="H170"/>
    </row>
    <row r="171" spans="2:8" x14ac:dyDescent="0.3">
      <c r="B171"/>
      <c r="H171"/>
    </row>
    <row r="172" spans="2:8" x14ac:dyDescent="0.3">
      <c r="B172"/>
      <c r="H172"/>
    </row>
    <row r="173" spans="2:8" x14ac:dyDescent="0.3">
      <c r="B173"/>
      <c r="H173"/>
    </row>
    <row r="174" spans="2:8" x14ac:dyDescent="0.3">
      <c r="B174"/>
      <c r="H174"/>
    </row>
    <row r="175" spans="2:8" x14ac:dyDescent="0.3">
      <c r="B175"/>
      <c r="H175"/>
    </row>
    <row r="176" spans="2:8" x14ac:dyDescent="0.3">
      <c r="B176"/>
      <c r="H176"/>
    </row>
    <row r="177" spans="2:8" x14ac:dyDescent="0.3">
      <c r="B177"/>
      <c r="H177"/>
    </row>
    <row r="178" spans="2:8" x14ac:dyDescent="0.3">
      <c r="B178"/>
      <c r="H178"/>
    </row>
    <row r="179" spans="2:8" x14ac:dyDescent="0.3">
      <c r="B179"/>
      <c r="H179"/>
    </row>
    <row r="180" spans="2:8" x14ac:dyDescent="0.3">
      <c r="B180"/>
      <c r="H180"/>
    </row>
    <row r="181" spans="2:8" x14ac:dyDescent="0.3">
      <c r="B181"/>
      <c r="H181"/>
    </row>
    <row r="182" spans="2:8" x14ac:dyDescent="0.3">
      <c r="B182"/>
      <c r="H182"/>
    </row>
    <row r="183" spans="2:8" x14ac:dyDescent="0.3">
      <c r="B183"/>
      <c r="H183"/>
    </row>
    <row r="184" spans="2:8" x14ac:dyDescent="0.3">
      <c r="B184"/>
      <c r="H184"/>
    </row>
    <row r="185" spans="2:8" x14ac:dyDescent="0.3">
      <c r="B185"/>
      <c r="H185"/>
    </row>
    <row r="186" spans="2:8" x14ac:dyDescent="0.3">
      <c r="B186"/>
      <c r="H186"/>
    </row>
    <row r="187" spans="2:8" x14ac:dyDescent="0.3">
      <c r="B187"/>
      <c r="H187"/>
    </row>
    <row r="188" spans="2:8" x14ac:dyDescent="0.3">
      <c r="B188"/>
      <c r="H188"/>
    </row>
    <row r="189" spans="2:8" x14ac:dyDescent="0.3">
      <c r="B189"/>
      <c r="H189"/>
    </row>
    <row r="190" spans="2:8" x14ac:dyDescent="0.3">
      <c r="B190"/>
      <c r="H190"/>
    </row>
    <row r="191" spans="2:8" x14ac:dyDescent="0.3">
      <c r="B191"/>
      <c r="H191"/>
    </row>
    <row r="192" spans="2:8" x14ac:dyDescent="0.3">
      <c r="B192"/>
      <c r="H192"/>
    </row>
    <row r="193" spans="2:8" x14ac:dyDescent="0.3">
      <c r="B193"/>
      <c r="H193"/>
    </row>
    <row r="194" spans="2:8" x14ac:dyDescent="0.3">
      <c r="B194"/>
      <c r="H194"/>
    </row>
    <row r="195" spans="2:8" x14ac:dyDescent="0.3">
      <c r="B195"/>
      <c r="H195"/>
    </row>
    <row r="196" spans="2:8" x14ac:dyDescent="0.3">
      <c r="B196"/>
      <c r="H196"/>
    </row>
    <row r="197" spans="2:8" x14ac:dyDescent="0.3">
      <c r="B197"/>
      <c r="H197"/>
    </row>
    <row r="198" spans="2:8" x14ac:dyDescent="0.3">
      <c r="B198"/>
      <c r="H198"/>
    </row>
    <row r="199" spans="2:8" x14ac:dyDescent="0.3">
      <c r="B199"/>
      <c r="H199"/>
    </row>
    <row r="200" spans="2:8" x14ac:dyDescent="0.3">
      <c r="B200"/>
      <c r="H200"/>
    </row>
    <row r="201" spans="2:8" x14ac:dyDescent="0.3">
      <c r="B201"/>
      <c r="H201"/>
    </row>
    <row r="202" spans="2:8" x14ac:dyDescent="0.3">
      <c r="B202"/>
      <c r="H202"/>
    </row>
    <row r="203" spans="2:8" x14ac:dyDescent="0.3">
      <c r="B203"/>
      <c r="H203"/>
    </row>
    <row r="204" spans="2:8" x14ac:dyDescent="0.3">
      <c r="B204"/>
      <c r="H204"/>
    </row>
    <row r="205" spans="2:8" x14ac:dyDescent="0.3">
      <c r="B205"/>
      <c r="H205"/>
    </row>
    <row r="206" spans="2:8" x14ac:dyDescent="0.3">
      <c r="B206"/>
      <c r="H206"/>
    </row>
    <row r="207" spans="2:8" x14ac:dyDescent="0.3">
      <c r="B207"/>
      <c r="H207"/>
    </row>
    <row r="208" spans="2:8" x14ac:dyDescent="0.3">
      <c r="B208"/>
      <c r="H208"/>
    </row>
    <row r="209" spans="2:8" x14ac:dyDescent="0.3">
      <c r="B209"/>
      <c r="H209"/>
    </row>
    <row r="210" spans="2:8" x14ac:dyDescent="0.3">
      <c r="B210"/>
      <c r="H210"/>
    </row>
    <row r="211" spans="2:8" x14ac:dyDescent="0.3">
      <c r="B211"/>
      <c r="H211"/>
    </row>
    <row r="212" spans="2:8" x14ac:dyDescent="0.3">
      <c r="B212"/>
      <c r="H212"/>
    </row>
    <row r="213" spans="2:8" x14ac:dyDescent="0.3">
      <c r="B213"/>
      <c r="H213"/>
    </row>
    <row r="214" spans="2:8" x14ac:dyDescent="0.3">
      <c r="B214"/>
      <c r="H214"/>
    </row>
    <row r="215" spans="2:8" x14ac:dyDescent="0.3">
      <c r="B215"/>
      <c r="H215"/>
    </row>
    <row r="216" spans="2:8" x14ac:dyDescent="0.3">
      <c r="B216"/>
      <c r="H216"/>
    </row>
    <row r="217" spans="2:8" x14ac:dyDescent="0.3">
      <c r="B217"/>
      <c r="H217"/>
    </row>
    <row r="218" spans="2:8" x14ac:dyDescent="0.3">
      <c r="B218"/>
      <c r="H218"/>
    </row>
    <row r="219" spans="2:8" x14ac:dyDescent="0.3">
      <c r="B219"/>
      <c r="H219"/>
    </row>
    <row r="220" spans="2:8" x14ac:dyDescent="0.3">
      <c r="B220"/>
      <c r="H220"/>
    </row>
    <row r="221" spans="2:8" x14ac:dyDescent="0.3">
      <c r="B221"/>
      <c r="H221"/>
    </row>
    <row r="222" spans="2:8" x14ac:dyDescent="0.3">
      <c r="B222"/>
      <c r="H222"/>
    </row>
    <row r="223" spans="2:8" x14ac:dyDescent="0.3">
      <c r="B223"/>
      <c r="H223"/>
    </row>
    <row r="224" spans="2:8" x14ac:dyDescent="0.3">
      <c r="B224"/>
      <c r="H224"/>
    </row>
    <row r="225" spans="2:8" x14ac:dyDescent="0.3">
      <c r="B225"/>
      <c r="H225"/>
    </row>
    <row r="226" spans="2:8" x14ac:dyDescent="0.3">
      <c r="B226"/>
      <c r="H226"/>
    </row>
    <row r="227" spans="2:8" x14ac:dyDescent="0.3">
      <c r="B227"/>
      <c r="H227"/>
    </row>
    <row r="228" spans="2:8" x14ac:dyDescent="0.3">
      <c r="B228"/>
      <c r="H228"/>
    </row>
    <row r="229" spans="2:8" x14ac:dyDescent="0.3">
      <c r="B229"/>
      <c r="H229"/>
    </row>
    <row r="230" spans="2:8" x14ac:dyDescent="0.3">
      <c r="B230"/>
      <c r="H230"/>
    </row>
    <row r="231" spans="2:8" x14ac:dyDescent="0.3">
      <c r="B231"/>
      <c r="H231"/>
    </row>
    <row r="232" spans="2:8" x14ac:dyDescent="0.3">
      <c r="B232"/>
      <c r="H232"/>
    </row>
    <row r="233" spans="2:8" x14ac:dyDescent="0.3">
      <c r="B233"/>
      <c r="H233"/>
    </row>
    <row r="234" spans="2:8" x14ac:dyDescent="0.3">
      <c r="B234"/>
      <c r="H234"/>
    </row>
    <row r="235" spans="2:8" x14ac:dyDescent="0.3">
      <c r="B235"/>
      <c r="H235"/>
    </row>
    <row r="236" spans="2:8" x14ac:dyDescent="0.3">
      <c r="B236"/>
      <c r="H236"/>
    </row>
    <row r="237" spans="2:8" x14ac:dyDescent="0.3">
      <c r="B237"/>
      <c r="H237"/>
    </row>
    <row r="238" spans="2:8" x14ac:dyDescent="0.3">
      <c r="B238"/>
      <c r="H238"/>
    </row>
    <row r="239" spans="2:8" x14ac:dyDescent="0.3">
      <c r="B239"/>
      <c r="H239"/>
    </row>
    <row r="240" spans="2:8" x14ac:dyDescent="0.3">
      <c r="B240"/>
      <c r="H240"/>
    </row>
    <row r="241" spans="2:8" x14ac:dyDescent="0.3">
      <c r="B241"/>
      <c r="H241"/>
    </row>
    <row r="242" spans="2:8" x14ac:dyDescent="0.3">
      <c r="B242"/>
      <c r="H242"/>
    </row>
    <row r="243" spans="2:8" x14ac:dyDescent="0.3">
      <c r="B243"/>
      <c r="H243"/>
    </row>
    <row r="244" spans="2:8" x14ac:dyDescent="0.3">
      <c r="B244"/>
      <c r="H244"/>
    </row>
    <row r="245" spans="2:8" x14ac:dyDescent="0.3">
      <c r="B245"/>
      <c r="H245"/>
    </row>
    <row r="246" spans="2:8" x14ac:dyDescent="0.3">
      <c r="B246"/>
      <c r="H246"/>
    </row>
    <row r="247" spans="2:8" x14ac:dyDescent="0.3">
      <c r="B247"/>
      <c r="H247"/>
    </row>
    <row r="248" spans="2:8" x14ac:dyDescent="0.3">
      <c r="B248"/>
      <c r="H248"/>
    </row>
    <row r="249" spans="2:8" x14ac:dyDescent="0.3">
      <c r="B249"/>
      <c r="H249"/>
    </row>
    <row r="250" spans="2:8" x14ac:dyDescent="0.3">
      <c r="B250"/>
      <c r="H250"/>
    </row>
    <row r="251" spans="2:8" x14ac:dyDescent="0.3">
      <c r="B251"/>
      <c r="H251"/>
    </row>
    <row r="252" spans="2:8" x14ac:dyDescent="0.3">
      <c r="B252"/>
      <c r="H252"/>
    </row>
    <row r="253" spans="2:8" x14ac:dyDescent="0.3">
      <c r="B253"/>
      <c r="H253"/>
    </row>
    <row r="254" spans="2:8" x14ac:dyDescent="0.3">
      <c r="B254"/>
      <c r="H254"/>
    </row>
    <row r="255" spans="2:8" x14ac:dyDescent="0.3">
      <c r="B255"/>
      <c r="H255"/>
    </row>
    <row r="256" spans="2:8" x14ac:dyDescent="0.3">
      <c r="B256"/>
      <c r="H256"/>
    </row>
    <row r="257" spans="2:8" x14ac:dyDescent="0.3">
      <c r="B257"/>
      <c r="H257"/>
    </row>
    <row r="258" spans="2:8" x14ac:dyDescent="0.3">
      <c r="B258"/>
      <c r="H258"/>
    </row>
    <row r="259" spans="2:8" x14ac:dyDescent="0.3">
      <c r="B259"/>
      <c r="H259"/>
    </row>
    <row r="260" spans="2:8" x14ac:dyDescent="0.3">
      <c r="B260"/>
      <c r="H260"/>
    </row>
    <row r="261" spans="2:8" x14ac:dyDescent="0.3">
      <c r="B261"/>
      <c r="H261"/>
    </row>
    <row r="262" spans="2:8" x14ac:dyDescent="0.3">
      <c r="B262"/>
      <c r="H262"/>
    </row>
    <row r="263" spans="2:8" x14ac:dyDescent="0.3">
      <c r="B263"/>
      <c r="H263"/>
    </row>
    <row r="264" spans="2:8" x14ac:dyDescent="0.3">
      <c r="B264"/>
      <c r="H264"/>
    </row>
    <row r="265" spans="2:8" x14ac:dyDescent="0.3">
      <c r="B265"/>
      <c r="H265"/>
    </row>
    <row r="266" spans="2:8" x14ac:dyDescent="0.3">
      <c r="B266"/>
      <c r="H266"/>
    </row>
    <row r="267" spans="2:8" x14ac:dyDescent="0.3">
      <c r="B267"/>
      <c r="H267"/>
    </row>
    <row r="268" spans="2:8" x14ac:dyDescent="0.3">
      <c r="B268"/>
      <c r="H268"/>
    </row>
    <row r="269" spans="2:8" x14ac:dyDescent="0.3">
      <c r="B269"/>
      <c r="H269"/>
    </row>
    <row r="270" spans="2:8" x14ac:dyDescent="0.3">
      <c r="B270"/>
      <c r="H270"/>
    </row>
    <row r="271" spans="2:8" x14ac:dyDescent="0.3">
      <c r="B271"/>
      <c r="H271"/>
    </row>
    <row r="272" spans="2:8" x14ac:dyDescent="0.3">
      <c r="B272"/>
      <c r="H272"/>
    </row>
    <row r="273" spans="2:8" x14ac:dyDescent="0.3">
      <c r="B273"/>
      <c r="H273"/>
    </row>
    <row r="274" spans="2:8" x14ac:dyDescent="0.3">
      <c r="B274"/>
      <c r="H274"/>
    </row>
    <row r="275" spans="2:8" x14ac:dyDescent="0.3">
      <c r="B275"/>
      <c r="H275"/>
    </row>
    <row r="276" spans="2:8" x14ac:dyDescent="0.3">
      <c r="B276"/>
      <c r="H276"/>
    </row>
    <row r="277" spans="2:8" x14ac:dyDescent="0.3">
      <c r="B277"/>
      <c r="H277"/>
    </row>
    <row r="278" spans="2:8" x14ac:dyDescent="0.3">
      <c r="B278"/>
      <c r="H278"/>
    </row>
    <row r="279" spans="2:8" x14ac:dyDescent="0.3">
      <c r="B279"/>
      <c r="H279"/>
    </row>
    <row r="280" spans="2:8" x14ac:dyDescent="0.3">
      <c r="B280"/>
      <c r="H280"/>
    </row>
    <row r="281" spans="2:8" x14ac:dyDescent="0.3">
      <c r="B281"/>
      <c r="H281"/>
    </row>
    <row r="282" spans="2:8" x14ac:dyDescent="0.3">
      <c r="B282"/>
      <c r="H282"/>
    </row>
    <row r="283" spans="2:8" x14ac:dyDescent="0.3">
      <c r="B283"/>
      <c r="H283"/>
    </row>
    <row r="284" spans="2:8" x14ac:dyDescent="0.3">
      <c r="B284"/>
      <c r="H284"/>
    </row>
    <row r="285" spans="2:8" x14ac:dyDescent="0.3">
      <c r="B285"/>
      <c r="H285"/>
    </row>
    <row r="286" spans="2:8" x14ac:dyDescent="0.3">
      <c r="B286"/>
      <c r="H286"/>
    </row>
    <row r="287" spans="2:8" x14ac:dyDescent="0.3">
      <c r="B287"/>
      <c r="H287"/>
    </row>
    <row r="288" spans="2:8" x14ac:dyDescent="0.3">
      <c r="B288"/>
      <c r="H288"/>
    </row>
    <row r="289" spans="2:8" x14ac:dyDescent="0.3">
      <c r="B289"/>
      <c r="H289"/>
    </row>
    <row r="290" spans="2:8" x14ac:dyDescent="0.3">
      <c r="B290"/>
      <c r="H290"/>
    </row>
    <row r="291" spans="2:8" x14ac:dyDescent="0.3">
      <c r="B291"/>
      <c r="H291"/>
    </row>
    <row r="292" spans="2:8" x14ac:dyDescent="0.3">
      <c r="B292"/>
      <c r="H292"/>
    </row>
    <row r="293" spans="2:8" x14ac:dyDescent="0.3">
      <c r="B293"/>
      <c r="H293"/>
    </row>
    <row r="294" spans="2:8" x14ac:dyDescent="0.3">
      <c r="B294"/>
      <c r="H294"/>
    </row>
    <row r="295" spans="2:8" x14ac:dyDescent="0.3">
      <c r="B295"/>
      <c r="H295"/>
    </row>
    <row r="296" spans="2:8" x14ac:dyDescent="0.3">
      <c r="B296"/>
      <c r="H296"/>
    </row>
    <row r="297" spans="2:8" x14ac:dyDescent="0.3">
      <c r="B297"/>
      <c r="H297"/>
    </row>
    <row r="298" spans="2:8" x14ac:dyDescent="0.3">
      <c r="B298"/>
      <c r="H298"/>
    </row>
    <row r="299" spans="2:8" x14ac:dyDescent="0.3">
      <c r="B299"/>
      <c r="H299"/>
    </row>
    <row r="300" spans="2:8" x14ac:dyDescent="0.3">
      <c r="B300"/>
      <c r="H300"/>
    </row>
    <row r="301" spans="2:8" x14ac:dyDescent="0.3">
      <c r="B301"/>
      <c r="H301"/>
    </row>
    <row r="302" spans="2:8" x14ac:dyDescent="0.3">
      <c r="B302"/>
      <c r="H302"/>
    </row>
    <row r="303" spans="2:8" x14ac:dyDescent="0.3">
      <c r="B303"/>
      <c r="H303"/>
    </row>
    <row r="304" spans="2:8" x14ac:dyDescent="0.3">
      <c r="B304"/>
      <c r="H304"/>
    </row>
    <row r="305" spans="2:8" x14ac:dyDescent="0.3">
      <c r="B305"/>
      <c r="H305"/>
    </row>
    <row r="306" spans="2:8" x14ac:dyDescent="0.3">
      <c r="B306"/>
      <c r="H306"/>
    </row>
    <row r="307" spans="2:8" x14ac:dyDescent="0.3">
      <c r="B307"/>
      <c r="H307"/>
    </row>
    <row r="308" spans="2:8" x14ac:dyDescent="0.3">
      <c r="B308"/>
      <c r="H308"/>
    </row>
    <row r="309" spans="2:8" x14ac:dyDescent="0.3">
      <c r="B309"/>
      <c r="H309"/>
    </row>
    <row r="310" spans="2:8" x14ac:dyDescent="0.3">
      <c r="B310"/>
      <c r="H310"/>
    </row>
    <row r="311" spans="2:8" x14ac:dyDescent="0.3">
      <c r="B311"/>
      <c r="H311"/>
    </row>
    <row r="312" spans="2:8" x14ac:dyDescent="0.3">
      <c r="B312"/>
      <c r="H312"/>
    </row>
    <row r="313" spans="2:8" x14ac:dyDescent="0.3">
      <c r="B313"/>
      <c r="H313"/>
    </row>
    <row r="314" spans="2:8" x14ac:dyDescent="0.3">
      <c r="B314"/>
      <c r="H314"/>
    </row>
    <row r="315" spans="2:8" x14ac:dyDescent="0.3">
      <c r="B315"/>
      <c r="H315"/>
    </row>
    <row r="316" spans="2:8" x14ac:dyDescent="0.3">
      <c r="B316"/>
      <c r="H316"/>
    </row>
    <row r="317" spans="2:8" x14ac:dyDescent="0.3">
      <c r="B317"/>
      <c r="H317"/>
    </row>
    <row r="318" spans="2:8" x14ac:dyDescent="0.3">
      <c r="B318"/>
      <c r="H318"/>
    </row>
    <row r="319" spans="2:8" x14ac:dyDescent="0.3">
      <c r="B319"/>
      <c r="H319"/>
    </row>
    <row r="320" spans="2:8" x14ac:dyDescent="0.3">
      <c r="B320"/>
      <c r="H320"/>
    </row>
    <row r="321" spans="2:8" x14ac:dyDescent="0.3">
      <c r="B321"/>
      <c r="H321"/>
    </row>
    <row r="322" spans="2:8" x14ac:dyDescent="0.3">
      <c r="B322"/>
      <c r="H322"/>
    </row>
    <row r="323" spans="2:8" x14ac:dyDescent="0.3">
      <c r="B323"/>
      <c r="H323"/>
    </row>
    <row r="324" spans="2:8" x14ac:dyDescent="0.3">
      <c r="B324"/>
      <c r="H324"/>
    </row>
    <row r="325" spans="2:8" x14ac:dyDescent="0.3">
      <c r="B325"/>
      <c r="H325"/>
    </row>
    <row r="326" spans="2:8" x14ac:dyDescent="0.3">
      <c r="B326"/>
      <c r="H326"/>
    </row>
    <row r="327" spans="2:8" x14ac:dyDescent="0.3">
      <c r="B327"/>
      <c r="H327"/>
    </row>
    <row r="328" spans="2:8" x14ac:dyDescent="0.3">
      <c r="B328"/>
      <c r="H328"/>
    </row>
    <row r="329" spans="2:8" x14ac:dyDescent="0.3">
      <c r="B329"/>
      <c r="H329"/>
    </row>
    <row r="330" spans="2:8" x14ac:dyDescent="0.3">
      <c r="B330"/>
      <c r="H330"/>
    </row>
    <row r="331" spans="2:8" x14ac:dyDescent="0.3">
      <c r="B331"/>
      <c r="H331"/>
    </row>
    <row r="332" spans="2:8" x14ac:dyDescent="0.3">
      <c r="B332"/>
      <c r="H332"/>
    </row>
    <row r="333" spans="2:8" x14ac:dyDescent="0.3">
      <c r="B333"/>
      <c r="H333"/>
    </row>
    <row r="334" spans="2:8" x14ac:dyDescent="0.3">
      <c r="B334"/>
      <c r="H334"/>
    </row>
    <row r="335" spans="2:8" x14ac:dyDescent="0.3">
      <c r="B335"/>
      <c r="H335"/>
    </row>
    <row r="336" spans="2:8" x14ac:dyDescent="0.3">
      <c r="B336"/>
      <c r="H336"/>
    </row>
    <row r="337" spans="2:8" x14ac:dyDescent="0.3">
      <c r="B337"/>
      <c r="H337"/>
    </row>
    <row r="338" spans="2:8" x14ac:dyDescent="0.3">
      <c r="B338"/>
      <c r="H338"/>
    </row>
    <row r="339" spans="2:8" x14ac:dyDescent="0.3">
      <c r="B339"/>
      <c r="H339"/>
    </row>
    <row r="340" spans="2:8" x14ac:dyDescent="0.3">
      <c r="B340"/>
      <c r="H340"/>
    </row>
    <row r="341" spans="2:8" x14ac:dyDescent="0.3">
      <c r="B341"/>
      <c r="H341"/>
    </row>
    <row r="342" spans="2:8" x14ac:dyDescent="0.3">
      <c r="B342"/>
      <c r="H342"/>
    </row>
    <row r="343" spans="2:8" x14ac:dyDescent="0.3">
      <c r="B343"/>
      <c r="H343"/>
    </row>
    <row r="344" spans="2:8" x14ac:dyDescent="0.3">
      <c r="B344"/>
      <c r="H344"/>
    </row>
    <row r="345" spans="2:8" x14ac:dyDescent="0.3">
      <c r="B345"/>
      <c r="H345"/>
    </row>
    <row r="346" spans="2:8" x14ac:dyDescent="0.3">
      <c r="B346"/>
      <c r="H346"/>
    </row>
    <row r="347" spans="2:8" x14ac:dyDescent="0.3">
      <c r="B347"/>
      <c r="H347"/>
    </row>
    <row r="348" spans="2:8" x14ac:dyDescent="0.3">
      <c r="B348"/>
      <c r="H348"/>
    </row>
    <row r="349" spans="2:8" x14ac:dyDescent="0.3">
      <c r="B349"/>
      <c r="H349"/>
    </row>
    <row r="350" spans="2:8" x14ac:dyDescent="0.3">
      <c r="B350"/>
      <c r="H350"/>
    </row>
    <row r="351" spans="2:8" x14ac:dyDescent="0.3">
      <c r="B351"/>
      <c r="H351"/>
    </row>
    <row r="352" spans="2:8" x14ac:dyDescent="0.3">
      <c r="B352"/>
      <c r="H352"/>
    </row>
    <row r="353" spans="2:8" x14ac:dyDescent="0.3">
      <c r="B353"/>
      <c r="H353"/>
    </row>
    <row r="354" spans="2:8" x14ac:dyDescent="0.3">
      <c r="B354"/>
      <c r="H354"/>
    </row>
    <row r="355" spans="2:8" x14ac:dyDescent="0.3">
      <c r="B355"/>
      <c r="H355"/>
    </row>
    <row r="356" spans="2:8" x14ac:dyDescent="0.3">
      <c r="B356"/>
      <c r="H356"/>
    </row>
    <row r="357" spans="2:8" x14ac:dyDescent="0.3">
      <c r="B357"/>
      <c r="H357"/>
    </row>
    <row r="358" spans="2:8" x14ac:dyDescent="0.3">
      <c r="B358"/>
      <c r="H358"/>
    </row>
    <row r="359" spans="2:8" x14ac:dyDescent="0.3">
      <c r="B359"/>
      <c r="H359"/>
    </row>
    <row r="360" spans="2:8" x14ac:dyDescent="0.3">
      <c r="B360"/>
      <c r="H360"/>
    </row>
    <row r="361" spans="2:8" x14ac:dyDescent="0.3">
      <c r="B361"/>
      <c r="H361"/>
    </row>
    <row r="362" spans="2:8" x14ac:dyDescent="0.3">
      <c r="B362"/>
      <c r="H362"/>
    </row>
    <row r="363" spans="2:8" x14ac:dyDescent="0.3">
      <c r="B363"/>
      <c r="H363"/>
    </row>
    <row r="364" spans="2:8" x14ac:dyDescent="0.3">
      <c r="B364"/>
      <c r="H364"/>
    </row>
    <row r="365" spans="2:8" x14ac:dyDescent="0.3">
      <c r="B365"/>
      <c r="H365"/>
    </row>
    <row r="366" spans="2:8" x14ac:dyDescent="0.3">
      <c r="B366"/>
      <c r="H366"/>
    </row>
    <row r="367" spans="2:8" x14ac:dyDescent="0.3">
      <c r="B367"/>
      <c r="H367"/>
    </row>
    <row r="368" spans="2:8" x14ac:dyDescent="0.3">
      <c r="B368"/>
      <c r="H368"/>
    </row>
    <row r="369" spans="2:8" x14ac:dyDescent="0.3">
      <c r="B369"/>
      <c r="H369"/>
    </row>
    <row r="370" spans="2:8" x14ac:dyDescent="0.3">
      <c r="B370"/>
      <c r="H370"/>
    </row>
    <row r="371" spans="2:8" x14ac:dyDescent="0.3">
      <c r="B371"/>
      <c r="H371"/>
    </row>
    <row r="372" spans="2:8" x14ac:dyDescent="0.3">
      <c r="B372"/>
      <c r="H372"/>
    </row>
    <row r="373" spans="2:8" x14ac:dyDescent="0.3">
      <c r="B373"/>
      <c r="H373"/>
    </row>
    <row r="374" spans="2:8" x14ac:dyDescent="0.3">
      <c r="B374"/>
      <c r="H374"/>
    </row>
    <row r="375" spans="2:8" x14ac:dyDescent="0.3">
      <c r="B375"/>
      <c r="H375"/>
    </row>
    <row r="376" spans="2:8" x14ac:dyDescent="0.3">
      <c r="B376"/>
      <c r="H376"/>
    </row>
    <row r="377" spans="2:8" x14ac:dyDescent="0.3">
      <c r="B377"/>
      <c r="H377"/>
    </row>
    <row r="378" spans="2:8" x14ac:dyDescent="0.3">
      <c r="B378"/>
      <c r="H378"/>
    </row>
    <row r="379" spans="2:8" x14ac:dyDescent="0.3">
      <c r="B379"/>
      <c r="H379"/>
    </row>
    <row r="380" spans="2:8" x14ac:dyDescent="0.3">
      <c r="B380"/>
      <c r="H380"/>
    </row>
    <row r="381" spans="2:8" x14ac:dyDescent="0.3">
      <c r="B381"/>
      <c r="H381"/>
    </row>
    <row r="382" spans="2:8" x14ac:dyDescent="0.3">
      <c r="B382"/>
      <c r="H382"/>
    </row>
    <row r="383" spans="2:8" x14ac:dyDescent="0.3">
      <c r="B383"/>
      <c r="H383"/>
    </row>
    <row r="384" spans="2:8" x14ac:dyDescent="0.3">
      <c r="B384"/>
      <c r="H384"/>
    </row>
    <row r="385" spans="2:8" x14ac:dyDescent="0.3">
      <c r="B385"/>
      <c r="H385"/>
    </row>
    <row r="386" spans="2:8" x14ac:dyDescent="0.3">
      <c r="B386"/>
      <c r="H386"/>
    </row>
    <row r="387" spans="2:8" x14ac:dyDescent="0.3">
      <c r="B387"/>
      <c r="H387"/>
    </row>
    <row r="388" spans="2:8" x14ac:dyDescent="0.3">
      <c r="B388"/>
      <c r="H388"/>
    </row>
    <row r="389" spans="2:8" x14ac:dyDescent="0.3">
      <c r="B389"/>
      <c r="H389"/>
    </row>
    <row r="390" spans="2:8" x14ac:dyDescent="0.3">
      <c r="B390"/>
      <c r="H390"/>
    </row>
    <row r="391" spans="2:8" x14ac:dyDescent="0.3">
      <c r="B391"/>
      <c r="H391"/>
    </row>
    <row r="392" spans="2:8" x14ac:dyDescent="0.3">
      <c r="B392"/>
      <c r="H392"/>
    </row>
    <row r="393" spans="2:8" x14ac:dyDescent="0.3">
      <c r="B393"/>
      <c r="H393"/>
    </row>
    <row r="394" spans="2:8" x14ac:dyDescent="0.3">
      <c r="B394"/>
      <c r="H394"/>
    </row>
    <row r="395" spans="2:8" x14ac:dyDescent="0.3">
      <c r="B395"/>
      <c r="H395"/>
    </row>
    <row r="396" spans="2:8" x14ac:dyDescent="0.3">
      <c r="B396"/>
      <c r="H396"/>
    </row>
    <row r="397" spans="2:8" x14ac:dyDescent="0.3">
      <c r="B397"/>
      <c r="H397"/>
    </row>
    <row r="398" spans="2:8" x14ac:dyDescent="0.3">
      <c r="B398"/>
      <c r="H398"/>
    </row>
    <row r="399" spans="2:8" x14ac:dyDescent="0.3">
      <c r="B399"/>
      <c r="H399"/>
    </row>
    <row r="400" spans="2:8" x14ac:dyDescent="0.3">
      <c r="B400"/>
      <c r="H400"/>
    </row>
    <row r="401" spans="2:8" x14ac:dyDescent="0.3">
      <c r="B401"/>
      <c r="H401"/>
    </row>
    <row r="402" spans="2:8" x14ac:dyDescent="0.3">
      <c r="B402"/>
      <c r="H402"/>
    </row>
    <row r="403" spans="2:8" x14ac:dyDescent="0.3">
      <c r="B403"/>
      <c r="H403"/>
    </row>
    <row r="404" spans="2:8" x14ac:dyDescent="0.3">
      <c r="B404"/>
      <c r="H404"/>
    </row>
    <row r="405" spans="2:8" x14ac:dyDescent="0.3">
      <c r="B405"/>
      <c r="H405"/>
    </row>
    <row r="406" spans="2:8" x14ac:dyDescent="0.3">
      <c r="B406"/>
      <c r="H406"/>
    </row>
    <row r="407" spans="2:8" x14ac:dyDescent="0.3">
      <c r="B407"/>
      <c r="H407"/>
    </row>
    <row r="408" spans="2:8" x14ac:dyDescent="0.3">
      <c r="B408"/>
      <c r="H408"/>
    </row>
    <row r="409" spans="2:8" x14ac:dyDescent="0.3">
      <c r="B409"/>
      <c r="H409"/>
    </row>
    <row r="410" spans="2:8" x14ac:dyDescent="0.3">
      <c r="B410"/>
      <c r="H410"/>
    </row>
    <row r="411" spans="2:8" x14ac:dyDescent="0.3">
      <c r="B411"/>
      <c r="H411"/>
    </row>
    <row r="412" spans="2:8" x14ac:dyDescent="0.3">
      <c r="B412"/>
      <c r="H412"/>
    </row>
    <row r="413" spans="2:8" x14ac:dyDescent="0.3">
      <c r="B413"/>
      <c r="H413"/>
    </row>
    <row r="414" spans="2:8" x14ac:dyDescent="0.3">
      <c r="B414"/>
      <c r="H414"/>
    </row>
    <row r="415" spans="2:8" x14ac:dyDescent="0.3">
      <c r="B415"/>
      <c r="H415"/>
    </row>
    <row r="416" spans="2:8" x14ac:dyDescent="0.3">
      <c r="B416"/>
      <c r="H416"/>
    </row>
    <row r="417" spans="2:8" x14ac:dyDescent="0.3">
      <c r="B417"/>
      <c r="H417"/>
    </row>
    <row r="418" spans="2:8" x14ac:dyDescent="0.3">
      <c r="B418"/>
      <c r="H418"/>
    </row>
    <row r="419" spans="2:8" x14ac:dyDescent="0.3">
      <c r="B419"/>
      <c r="H419"/>
    </row>
    <row r="420" spans="2:8" x14ac:dyDescent="0.3">
      <c r="B420"/>
      <c r="H420"/>
    </row>
    <row r="421" spans="2:8" x14ac:dyDescent="0.3">
      <c r="B421"/>
      <c r="H421"/>
    </row>
    <row r="422" spans="2:8" x14ac:dyDescent="0.3">
      <c r="B422"/>
      <c r="H422"/>
    </row>
    <row r="423" spans="2:8" x14ac:dyDescent="0.3">
      <c r="B423"/>
      <c r="H423"/>
    </row>
    <row r="424" spans="2:8" x14ac:dyDescent="0.3">
      <c r="B424"/>
      <c r="H424"/>
    </row>
    <row r="425" spans="2:8" x14ac:dyDescent="0.3">
      <c r="B425"/>
      <c r="H425"/>
    </row>
    <row r="426" spans="2:8" x14ac:dyDescent="0.3">
      <c r="B426"/>
      <c r="H426"/>
    </row>
    <row r="427" spans="2:8" x14ac:dyDescent="0.3">
      <c r="B427"/>
      <c r="H427"/>
    </row>
    <row r="428" spans="2:8" x14ac:dyDescent="0.3">
      <c r="B428"/>
      <c r="H428"/>
    </row>
    <row r="429" spans="2:8" x14ac:dyDescent="0.3">
      <c r="B429"/>
      <c r="H429"/>
    </row>
    <row r="430" spans="2:8" x14ac:dyDescent="0.3">
      <c r="B430"/>
      <c r="H430"/>
    </row>
    <row r="431" spans="2:8" x14ac:dyDescent="0.3">
      <c r="B431"/>
      <c r="H431"/>
    </row>
    <row r="432" spans="2:8" x14ac:dyDescent="0.3">
      <c r="B432"/>
      <c r="H432"/>
    </row>
    <row r="433" spans="2:8" x14ac:dyDescent="0.3">
      <c r="B433"/>
      <c r="H433"/>
    </row>
    <row r="434" spans="2:8" x14ac:dyDescent="0.3">
      <c r="B434"/>
      <c r="H434"/>
    </row>
    <row r="435" spans="2:8" x14ac:dyDescent="0.3">
      <c r="B435"/>
      <c r="H435"/>
    </row>
    <row r="436" spans="2:8" x14ac:dyDescent="0.3">
      <c r="B436"/>
      <c r="H436"/>
    </row>
    <row r="437" spans="2:8" x14ac:dyDescent="0.3">
      <c r="B437"/>
      <c r="H437"/>
    </row>
    <row r="438" spans="2:8" x14ac:dyDescent="0.3">
      <c r="B438"/>
      <c r="H438"/>
    </row>
    <row r="439" spans="2:8" x14ac:dyDescent="0.3">
      <c r="B439"/>
      <c r="H439"/>
    </row>
    <row r="440" spans="2:8" x14ac:dyDescent="0.3">
      <c r="B440"/>
      <c r="H440"/>
    </row>
    <row r="441" spans="2:8" x14ac:dyDescent="0.3">
      <c r="B441"/>
      <c r="H441"/>
    </row>
    <row r="442" spans="2:8" x14ac:dyDescent="0.3">
      <c r="B442"/>
      <c r="H442"/>
    </row>
    <row r="443" spans="2:8" x14ac:dyDescent="0.3">
      <c r="B443"/>
      <c r="H443"/>
    </row>
    <row r="444" spans="2:8" x14ac:dyDescent="0.3">
      <c r="B444"/>
      <c r="H444"/>
    </row>
    <row r="445" spans="2:8" x14ac:dyDescent="0.3">
      <c r="B445"/>
      <c r="H445"/>
    </row>
    <row r="446" spans="2:8" x14ac:dyDescent="0.3">
      <c r="B446"/>
      <c r="H446"/>
    </row>
    <row r="447" spans="2:8" x14ac:dyDescent="0.3">
      <c r="B447"/>
      <c r="H447"/>
    </row>
    <row r="448" spans="2:8" x14ac:dyDescent="0.3">
      <c r="B448"/>
      <c r="H448"/>
    </row>
    <row r="449" spans="2:8" x14ac:dyDescent="0.3">
      <c r="B449"/>
      <c r="H449"/>
    </row>
    <row r="450" spans="2:8" x14ac:dyDescent="0.3">
      <c r="B450"/>
      <c r="H450"/>
    </row>
    <row r="451" spans="2:8" x14ac:dyDescent="0.3">
      <c r="B451"/>
      <c r="H451"/>
    </row>
    <row r="452" spans="2:8" x14ac:dyDescent="0.3">
      <c r="B452"/>
      <c r="H452"/>
    </row>
    <row r="453" spans="2:8" x14ac:dyDescent="0.3">
      <c r="B453"/>
      <c r="H453"/>
    </row>
    <row r="454" spans="2:8" x14ac:dyDescent="0.3">
      <c r="B454"/>
      <c r="H454"/>
    </row>
    <row r="455" spans="2:8" x14ac:dyDescent="0.3">
      <c r="B455"/>
      <c r="H455"/>
    </row>
    <row r="456" spans="2:8" x14ac:dyDescent="0.3">
      <c r="B456"/>
      <c r="H456"/>
    </row>
    <row r="457" spans="2:8" x14ac:dyDescent="0.3">
      <c r="B457"/>
      <c r="H457"/>
    </row>
    <row r="458" spans="2:8" x14ac:dyDescent="0.3">
      <c r="B458"/>
      <c r="H458"/>
    </row>
    <row r="459" spans="2:8" x14ac:dyDescent="0.3">
      <c r="B459"/>
      <c r="H459"/>
    </row>
    <row r="460" spans="2:8" x14ac:dyDescent="0.3">
      <c r="B460"/>
      <c r="H460"/>
    </row>
    <row r="461" spans="2:8" x14ac:dyDescent="0.3">
      <c r="B461"/>
      <c r="H461"/>
    </row>
    <row r="462" spans="2:8" x14ac:dyDescent="0.3">
      <c r="B462"/>
      <c r="H462"/>
    </row>
    <row r="463" spans="2:8" x14ac:dyDescent="0.3">
      <c r="B463"/>
      <c r="H463"/>
    </row>
    <row r="464" spans="2:8" x14ac:dyDescent="0.3">
      <c r="B464"/>
      <c r="H464"/>
    </row>
    <row r="465" spans="2:8" x14ac:dyDescent="0.3">
      <c r="B465"/>
      <c r="H465"/>
    </row>
    <row r="466" spans="2:8" x14ac:dyDescent="0.3">
      <c r="B466"/>
      <c r="H466"/>
    </row>
    <row r="467" spans="2:8" x14ac:dyDescent="0.3">
      <c r="B467"/>
      <c r="H467"/>
    </row>
    <row r="468" spans="2:8" x14ac:dyDescent="0.3">
      <c r="B468"/>
      <c r="H468"/>
    </row>
    <row r="469" spans="2:8" x14ac:dyDescent="0.3">
      <c r="B469"/>
      <c r="H469"/>
    </row>
    <row r="470" spans="2:8" x14ac:dyDescent="0.3">
      <c r="B470"/>
      <c r="H470"/>
    </row>
    <row r="471" spans="2:8" x14ac:dyDescent="0.3">
      <c r="B471"/>
      <c r="H471"/>
    </row>
    <row r="472" spans="2:8" x14ac:dyDescent="0.3">
      <c r="B472"/>
      <c r="H472"/>
    </row>
    <row r="473" spans="2:8" x14ac:dyDescent="0.3">
      <c r="B473"/>
      <c r="H473"/>
    </row>
    <row r="474" spans="2:8" x14ac:dyDescent="0.3">
      <c r="B474"/>
      <c r="H474"/>
    </row>
    <row r="475" spans="2:8" x14ac:dyDescent="0.3">
      <c r="B475"/>
      <c r="H475"/>
    </row>
    <row r="476" spans="2:8" x14ac:dyDescent="0.3">
      <c r="B476"/>
      <c r="H476"/>
    </row>
    <row r="477" spans="2:8" x14ac:dyDescent="0.3">
      <c r="B477"/>
      <c r="H477"/>
    </row>
    <row r="478" spans="2:8" x14ac:dyDescent="0.3">
      <c r="B478"/>
      <c r="H478"/>
    </row>
    <row r="479" spans="2:8" x14ac:dyDescent="0.3">
      <c r="B479"/>
      <c r="H479"/>
    </row>
    <row r="480" spans="2:8" x14ac:dyDescent="0.3">
      <c r="B480"/>
      <c r="H480"/>
    </row>
    <row r="481" spans="2:8" x14ac:dyDescent="0.3">
      <c r="B481"/>
      <c r="H481"/>
    </row>
    <row r="482" spans="2:8" x14ac:dyDescent="0.3">
      <c r="B482"/>
      <c r="H482"/>
    </row>
    <row r="483" spans="2:8" x14ac:dyDescent="0.3">
      <c r="B483"/>
      <c r="H483"/>
    </row>
    <row r="484" spans="2:8" x14ac:dyDescent="0.3">
      <c r="B484"/>
      <c r="H484"/>
    </row>
    <row r="485" spans="2:8" x14ac:dyDescent="0.3">
      <c r="B485"/>
      <c r="H485"/>
    </row>
    <row r="486" spans="2:8" x14ac:dyDescent="0.3">
      <c r="B486"/>
      <c r="H486"/>
    </row>
    <row r="487" spans="2:8" x14ac:dyDescent="0.3">
      <c r="B487"/>
      <c r="H487"/>
    </row>
    <row r="488" spans="2:8" x14ac:dyDescent="0.3">
      <c r="B488"/>
      <c r="H488"/>
    </row>
    <row r="489" spans="2:8" x14ac:dyDescent="0.3">
      <c r="B489"/>
      <c r="H489"/>
    </row>
    <row r="490" spans="2:8" x14ac:dyDescent="0.3">
      <c r="B490"/>
      <c r="H490"/>
    </row>
    <row r="491" spans="2:8" x14ac:dyDescent="0.3">
      <c r="B491"/>
      <c r="H491"/>
    </row>
    <row r="492" spans="2:8" x14ac:dyDescent="0.3">
      <c r="B492"/>
      <c r="H492"/>
    </row>
    <row r="493" spans="2:8" x14ac:dyDescent="0.3">
      <c r="B493"/>
      <c r="H493"/>
    </row>
    <row r="494" spans="2:8" x14ac:dyDescent="0.3">
      <c r="B494"/>
      <c r="H494"/>
    </row>
    <row r="495" spans="2:8" x14ac:dyDescent="0.3">
      <c r="B495"/>
      <c r="H495"/>
    </row>
    <row r="496" spans="2:8" x14ac:dyDescent="0.3">
      <c r="B496"/>
      <c r="H496"/>
    </row>
    <row r="497" spans="2:8" x14ac:dyDescent="0.3">
      <c r="B497"/>
      <c r="H497"/>
    </row>
    <row r="498" spans="2:8" x14ac:dyDescent="0.3">
      <c r="B498"/>
      <c r="H498"/>
    </row>
    <row r="499" spans="2:8" x14ac:dyDescent="0.3">
      <c r="B499"/>
      <c r="H499"/>
    </row>
    <row r="500" spans="2:8" x14ac:dyDescent="0.3">
      <c r="B500"/>
      <c r="H500"/>
    </row>
    <row r="501" spans="2:8" x14ac:dyDescent="0.3">
      <c r="B501"/>
      <c r="H501"/>
    </row>
    <row r="502" spans="2:8" x14ac:dyDescent="0.3">
      <c r="B502"/>
      <c r="H502"/>
    </row>
    <row r="503" spans="2:8" x14ac:dyDescent="0.3">
      <c r="B503"/>
      <c r="H503"/>
    </row>
    <row r="504" spans="2:8" x14ac:dyDescent="0.3">
      <c r="B504"/>
      <c r="H504"/>
    </row>
    <row r="505" spans="2:8" x14ac:dyDescent="0.3">
      <c r="B505"/>
      <c r="H505"/>
    </row>
    <row r="506" spans="2:8" x14ac:dyDescent="0.3">
      <c r="B506"/>
      <c r="H506"/>
    </row>
    <row r="507" spans="2:8" x14ac:dyDescent="0.3">
      <c r="B507"/>
      <c r="H507"/>
    </row>
    <row r="508" spans="2:8" x14ac:dyDescent="0.3">
      <c r="B508"/>
      <c r="H508"/>
    </row>
    <row r="509" spans="2:8" x14ac:dyDescent="0.3">
      <c r="B509"/>
      <c r="H509"/>
    </row>
    <row r="510" spans="2:8" x14ac:dyDescent="0.3">
      <c r="B510"/>
      <c r="H510"/>
    </row>
    <row r="511" spans="2:8" x14ac:dyDescent="0.3">
      <c r="B511"/>
      <c r="H511"/>
    </row>
    <row r="512" spans="2:8" x14ac:dyDescent="0.3">
      <c r="B512"/>
      <c r="H512"/>
    </row>
    <row r="513" spans="2:8" x14ac:dyDescent="0.3">
      <c r="B513"/>
      <c r="H513"/>
    </row>
    <row r="514" spans="2:8" x14ac:dyDescent="0.3">
      <c r="B514"/>
      <c r="H514"/>
    </row>
    <row r="515" spans="2:8" x14ac:dyDescent="0.3">
      <c r="B515"/>
      <c r="H515"/>
    </row>
    <row r="516" spans="2:8" x14ac:dyDescent="0.3">
      <c r="B516"/>
      <c r="H516"/>
    </row>
    <row r="517" spans="2:8" x14ac:dyDescent="0.3">
      <c r="B517"/>
      <c r="H517"/>
    </row>
    <row r="518" spans="2:8" x14ac:dyDescent="0.3">
      <c r="B518"/>
      <c r="H518"/>
    </row>
    <row r="519" spans="2:8" x14ac:dyDescent="0.3">
      <c r="B519"/>
      <c r="H519"/>
    </row>
    <row r="520" spans="2:8" x14ac:dyDescent="0.3">
      <c r="B520"/>
      <c r="H520"/>
    </row>
    <row r="521" spans="2:8" x14ac:dyDescent="0.3">
      <c r="B521"/>
      <c r="H521"/>
    </row>
    <row r="522" spans="2:8" x14ac:dyDescent="0.3">
      <c r="B522"/>
      <c r="H522"/>
    </row>
    <row r="523" spans="2:8" x14ac:dyDescent="0.3">
      <c r="B523"/>
      <c r="H523"/>
    </row>
    <row r="524" spans="2:8" x14ac:dyDescent="0.3">
      <c r="B524"/>
      <c r="H524"/>
    </row>
    <row r="525" spans="2:8" x14ac:dyDescent="0.3">
      <c r="B525"/>
      <c r="H525"/>
    </row>
    <row r="526" spans="2:8" x14ac:dyDescent="0.3">
      <c r="B526"/>
      <c r="H526"/>
    </row>
    <row r="527" spans="2:8" x14ac:dyDescent="0.3">
      <c r="B527"/>
      <c r="H527"/>
    </row>
    <row r="528" spans="2:8" x14ac:dyDescent="0.3">
      <c r="B528"/>
      <c r="H528"/>
    </row>
    <row r="529" spans="2:8" x14ac:dyDescent="0.3">
      <c r="B529"/>
      <c r="H529"/>
    </row>
    <row r="530" spans="2:8" x14ac:dyDescent="0.3">
      <c r="B530"/>
      <c r="H530"/>
    </row>
    <row r="531" spans="2:8" x14ac:dyDescent="0.3">
      <c r="B531"/>
      <c r="H531"/>
    </row>
    <row r="532" spans="2:8" x14ac:dyDescent="0.3">
      <c r="B532"/>
      <c r="H532"/>
    </row>
    <row r="533" spans="2:8" x14ac:dyDescent="0.3">
      <c r="B533"/>
      <c r="H533"/>
    </row>
    <row r="534" spans="2:8" x14ac:dyDescent="0.3">
      <c r="B534"/>
      <c r="H534"/>
    </row>
    <row r="535" spans="2:8" x14ac:dyDescent="0.3">
      <c r="B535"/>
      <c r="H535"/>
    </row>
    <row r="536" spans="2:8" x14ac:dyDescent="0.3">
      <c r="B536"/>
      <c r="H536"/>
    </row>
    <row r="537" spans="2:8" x14ac:dyDescent="0.3">
      <c r="B537"/>
      <c r="H537"/>
    </row>
    <row r="538" spans="2:8" x14ac:dyDescent="0.3">
      <c r="B538"/>
      <c r="H538"/>
    </row>
    <row r="539" spans="2:8" x14ac:dyDescent="0.3">
      <c r="B539"/>
      <c r="H539"/>
    </row>
    <row r="540" spans="2:8" x14ac:dyDescent="0.3">
      <c r="B540"/>
      <c r="H540"/>
    </row>
    <row r="541" spans="2:8" x14ac:dyDescent="0.3">
      <c r="B541"/>
      <c r="H541"/>
    </row>
    <row r="542" spans="2:8" x14ac:dyDescent="0.3">
      <c r="B542"/>
      <c r="H542"/>
    </row>
    <row r="543" spans="2:8" x14ac:dyDescent="0.3">
      <c r="B543"/>
      <c r="H543"/>
    </row>
    <row r="544" spans="2:8" x14ac:dyDescent="0.3">
      <c r="B544"/>
      <c r="H544"/>
    </row>
    <row r="545" spans="2:8" x14ac:dyDescent="0.3">
      <c r="B545"/>
      <c r="H545"/>
    </row>
    <row r="546" spans="2:8" x14ac:dyDescent="0.3">
      <c r="B546"/>
      <c r="H546"/>
    </row>
    <row r="547" spans="2:8" x14ac:dyDescent="0.3">
      <c r="B547"/>
      <c r="H547"/>
    </row>
    <row r="548" spans="2:8" x14ac:dyDescent="0.3">
      <c r="B548"/>
      <c r="H548"/>
    </row>
    <row r="549" spans="2:8" x14ac:dyDescent="0.3">
      <c r="B549"/>
      <c r="H549"/>
    </row>
    <row r="550" spans="2:8" x14ac:dyDescent="0.3">
      <c r="B550"/>
      <c r="H550"/>
    </row>
    <row r="551" spans="2:8" x14ac:dyDescent="0.3">
      <c r="B551"/>
      <c r="H551"/>
    </row>
    <row r="552" spans="2:8" x14ac:dyDescent="0.3">
      <c r="B552"/>
      <c r="H552"/>
    </row>
    <row r="553" spans="2:8" x14ac:dyDescent="0.3">
      <c r="B553"/>
      <c r="H553"/>
    </row>
    <row r="554" spans="2:8" x14ac:dyDescent="0.3">
      <c r="B554"/>
      <c r="H554"/>
    </row>
    <row r="555" spans="2:8" x14ac:dyDescent="0.3">
      <c r="B555"/>
      <c r="H555"/>
    </row>
    <row r="556" spans="2:8" x14ac:dyDescent="0.3">
      <c r="B556"/>
      <c r="H556"/>
    </row>
    <row r="557" spans="2:8" x14ac:dyDescent="0.3">
      <c r="B557"/>
      <c r="H557"/>
    </row>
    <row r="558" spans="2:8" x14ac:dyDescent="0.3">
      <c r="B558"/>
      <c r="H558"/>
    </row>
    <row r="559" spans="2:8" x14ac:dyDescent="0.3">
      <c r="B559"/>
      <c r="H559"/>
    </row>
    <row r="560" spans="2:8" x14ac:dyDescent="0.3">
      <c r="B560"/>
      <c r="H560"/>
    </row>
    <row r="561" spans="2:8" x14ac:dyDescent="0.3">
      <c r="B561"/>
      <c r="H561"/>
    </row>
    <row r="562" spans="2:8" x14ac:dyDescent="0.3">
      <c r="B562"/>
      <c r="H562"/>
    </row>
    <row r="563" spans="2:8" x14ac:dyDescent="0.3">
      <c r="B563"/>
      <c r="H563"/>
    </row>
    <row r="564" spans="2:8" x14ac:dyDescent="0.3">
      <c r="B564"/>
      <c r="H564"/>
    </row>
    <row r="565" spans="2:8" x14ac:dyDescent="0.3">
      <c r="B565"/>
      <c r="H565"/>
    </row>
    <row r="566" spans="2:8" x14ac:dyDescent="0.3">
      <c r="B566"/>
      <c r="H566"/>
    </row>
    <row r="567" spans="2:8" x14ac:dyDescent="0.3">
      <c r="B567"/>
      <c r="H567"/>
    </row>
    <row r="568" spans="2:8" x14ac:dyDescent="0.3">
      <c r="B568"/>
      <c r="H568"/>
    </row>
    <row r="569" spans="2:8" x14ac:dyDescent="0.3">
      <c r="B569"/>
      <c r="H569"/>
    </row>
    <row r="570" spans="2:8" x14ac:dyDescent="0.3">
      <c r="B570"/>
      <c r="H570"/>
    </row>
    <row r="571" spans="2:8" x14ac:dyDescent="0.3">
      <c r="B571"/>
      <c r="H571"/>
    </row>
    <row r="572" spans="2:8" x14ac:dyDescent="0.3">
      <c r="B572"/>
      <c r="H572"/>
    </row>
    <row r="573" spans="2:8" x14ac:dyDescent="0.3">
      <c r="B573"/>
      <c r="H573"/>
    </row>
    <row r="574" spans="2:8" x14ac:dyDescent="0.3">
      <c r="B574"/>
      <c r="H574"/>
    </row>
    <row r="575" spans="2:8" x14ac:dyDescent="0.3">
      <c r="B575"/>
      <c r="H575"/>
    </row>
    <row r="576" spans="2:8" x14ac:dyDescent="0.3">
      <c r="B576"/>
      <c r="H576"/>
    </row>
    <row r="577" spans="2:8" x14ac:dyDescent="0.3">
      <c r="B577"/>
      <c r="H577"/>
    </row>
    <row r="578" spans="2:8" x14ac:dyDescent="0.3">
      <c r="B578"/>
      <c r="H578"/>
    </row>
    <row r="579" spans="2:8" x14ac:dyDescent="0.3">
      <c r="B579"/>
      <c r="H579"/>
    </row>
    <row r="580" spans="2:8" x14ac:dyDescent="0.3">
      <c r="B580"/>
      <c r="H580"/>
    </row>
    <row r="581" spans="2:8" x14ac:dyDescent="0.3">
      <c r="B581"/>
      <c r="H581"/>
    </row>
    <row r="582" spans="2:8" x14ac:dyDescent="0.3">
      <c r="B582"/>
      <c r="H582"/>
    </row>
    <row r="583" spans="2:8" x14ac:dyDescent="0.3">
      <c r="B583"/>
      <c r="H583"/>
    </row>
    <row r="584" spans="2:8" x14ac:dyDescent="0.3">
      <c r="B584"/>
      <c r="H584"/>
    </row>
    <row r="585" spans="2:8" x14ac:dyDescent="0.3">
      <c r="B585"/>
      <c r="H585"/>
    </row>
    <row r="586" spans="2:8" x14ac:dyDescent="0.3">
      <c r="B586"/>
      <c r="H586"/>
    </row>
    <row r="587" spans="2:8" x14ac:dyDescent="0.3">
      <c r="B587"/>
      <c r="H587"/>
    </row>
    <row r="588" spans="2:8" x14ac:dyDescent="0.3">
      <c r="B588"/>
      <c r="H588"/>
    </row>
    <row r="589" spans="2:8" x14ac:dyDescent="0.3">
      <c r="B589"/>
      <c r="H589"/>
    </row>
    <row r="590" spans="2:8" x14ac:dyDescent="0.3">
      <c r="B590"/>
      <c r="H590"/>
    </row>
    <row r="591" spans="2:8" x14ac:dyDescent="0.3">
      <c r="B591"/>
      <c r="H591"/>
    </row>
    <row r="592" spans="2:8" x14ac:dyDescent="0.3">
      <c r="B592"/>
      <c r="H592"/>
    </row>
    <row r="593" spans="2:8" x14ac:dyDescent="0.3">
      <c r="B593"/>
      <c r="H593"/>
    </row>
    <row r="594" spans="2:8" x14ac:dyDescent="0.3">
      <c r="B594"/>
      <c r="H594"/>
    </row>
    <row r="595" spans="2:8" x14ac:dyDescent="0.3">
      <c r="B595"/>
      <c r="H595"/>
    </row>
    <row r="596" spans="2:8" x14ac:dyDescent="0.3">
      <c r="B596"/>
      <c r="H596"/>
    </row>
    <row r="597" spans="2:8" x14ac:dyDescent="0.3">
      <c r="B597"/>
      <c r="H597"/>
    </row>
    <row r="598" spans="2:8" x14ac:dyDescent="0.3">
      <c r="B598"/>
      <c r="H598"/>
    </row>
    <row r="599" spans="2:8" x14ac:dyDescent="0.3">
      <c r="B599"/>
      <c r="H599"/>
    </row>
    <row r="600" spans="2:8" x14ac:dyDescent="0.3">
      <c r="B600"/>
      <c r="H600"/>
    </row>
    <row r="601" spans="2:8" x14ac:dyDescent="0.3">
      <c r="B601"/>
      <c r="H601"/>
    </row>
    <row r="602" spans="2:8" x14ac:dyDescent="0.3">
      <c r="B602"/>
      <c r="H602"/>
    </row>
    <row r="603" spans="2:8" x14ac:dyDescent="0.3">
      <c r="B603"/>
      <c r="H603"/>
    </row>
    <row r="604" spans="2:8" x14ac:dyDescent="0.3">
      <c r="B604"/>
      <c r="H604"/>
    </row>
    <row r="605" spans="2:8" x14ac:dyDescent="0.3">
      <c r="B605"/>
      <c r="H605"/>
    </row>
    <row r="606" spans="2:8" x14ac:dyDescent="0.3">
      <c r="B606"/>
      <c r="H606"/>
    </row>
    <row r="607" spans="2:8" x14ac:dyDescent="0.3">
      <c r="B607"/>
      <c r="H607"/>
    </row>
    <row r="608" spans="2:8" x14ac:dyDescent="0.3">
      <c r="B608"/>
      <c r="H608"/>
    </row>
    <row r="609" spans="2:8" x14ac:dyDescent="0.3">
      <c r="B609"/>
      <c r="H609"/>
    </row>
    <row r="610" spans="2:8" x14ac:dyDescent="0.3">
      <c r="B610"/>
      <c r="H610"/>
    </row>
    <row r="611" spans="2:8" x14ac:dyDescent="0.3">
      <c r="B611"/>
      <c r="H611"/>
    </row>
    <row r="612" spans="2:8" x14ac:dyDescent="0.3">
      <c r="B612"/>
      <c r="H612"/>
    </row>
    <row r="613" spans="2:8" x14ac:dyDescent="0.3">
      <c r="B613"/>
      <c r="H613"/>
    </row>
    <row r="614" spans="2:8" x14ac:dyDescent="0.3">
      <c r="B614"/>
      <c r="H614"/>
    </row>
    <row r="615" spans="2:8" x14ac:dyDescent="0.3">
      <c r="B615"/>
      <c r="H615"/>
    </row>
    <row r="616" spans="2:8" x14ac:dyDescent="0.3">
      <c r="B616"/>
      <c r="H616"/>
    </row>
    <row r="617" spans="2:8" x14ac:dyDescent="0.3">
      <c r="B617"/>
      <c r="H617"/>
    </row>
    <row r="618" spans="2:8" x14ac:dyDescent="0.3">
      <c r="B618"/>
      <c r="H618"/>
    </row>
    <row r="619" spans="2:8" x14ac:dyDescent="0.3">
      <c r="B619"/>
      <c r="H619"/>
    </row>
    <row r="620" spans="2:8" x14ac:dyDescent="0.3">
      <c r="B620"/>
      <c r="H620"/>
    </row>
    <row r="621" spans="2:8" x14ac:dyDescent="0.3">
      <c r="B621"/>
      <c r="H621"/>
    </row>
    <row r="622" spans="2:8" x14ac:dyDescent="0.3">
      <c r="B622"/>
      <c r="H622"/>
    </row>
    <row r="623" spans="2:8" x14ac:dyDescent="0.3">
      <c r="B623"/>
      <c r="H623"/>
    </row>
    <row r="624" spans="2:8" x14ac:dyDescent="0.3">
      <c r="B624"/>
      <c r="H624"/>
    </row>
    <row r="625" spans="2:8" x14ac:dyDescent="0.3">
      <c r="B625"/>
      <c r="H625"/>
    </row>
    <row r="626" spans="2:8" x14ac:dyDescent="0.3">
      <c r="B626"/>
      <c r="H626"/>
    </row>
    <row r="627" spans="2:8" x14ac:dyDescent="0.3">
      <c r="B627"/>
      <c r="H627"/>
    </row>
    <row r="628" spans="2:8" x14ac:dyDescent="0.3">
      <c r="B628"/>
      <c r="H628"/>
    </row>
    <row r="629" spans="2:8" x14ac:dyDescent="0.3">
      <c r="B629"/>
      <c r="H629"/>
    </row>
    <row r="630" spans="2:8" x14ac:dyDescent="0.3">
      <c r="B630"/>
      <c r="H630"/>
    </row>
    <row r="631" spans="2:8" x14ac:dyDescent="0.3">
      <c r="B631"/>
      <c r="H631"/>
    </row>
    <row r="632" spans="2:8" x14ac:dyDescent="0.3">
      <c r="B632"/>
      <c r="H632"/>
    </row>
    <row r="633" spans="2:8" x14ac:dyDescent="0.3">
      <c r="B633"/>
      <c r="H633"/>
    </row>
    <row r="634" spans="2:8" x14ac:dyDescent="0.3">
      <c r="B634"/>
      <c r="H634"/>
    </row>
    <row r="635" spans="2:8" x14ac:dyDescent="0.3">
      <c r="B635"/>
      <c r="H635"/>
    </row>
    <row r="636" spans="2:8" x14ac:dyDescent="0.3">
      <c r="B636"/>
      <c r="H636"/>
    </row>
    <row r="637" spans="2:8" x14ac:dyDescent="0.3">
      <c r="B637"/>
      <c r="H637"/>
    </row>
    <row r="638" spans="2:8" x14ac:dyDescent="0.3">
      <c r="B638"/>
      <c r="H638"/>
    </row>
    <row r="639" spans="2:8" x14ac:dyDescent="0.3">
      <c r="B639"/>
      <c r="H639"/>
    </row>
    <row r="640" spans="2:8" x14ac:dyDescent="0.3">
      <c r="B640"/>
      <c r="H640"/>
    </row>
    <row r="641" spans="2:8" x14ac:dyDescent="0.3">
      <c r="B641"/>
      <c r="H641"/>
    </row>
    <row r="642" spans="2:8" x14ac:dyDescent="0.3">
      <c r="B642"/>
      <c r="H642"/>
    </row>
    <row r="643" spans="2:8" x14ac:dyDescent="0.3">
      <c r="B643"/>
      <c r="H643"/>
    </row>
    <row r="644" spans="2:8" x14ac:dyDescent="0.3">
      <c r="B644"/>
      <c r="H644"/>
    </row>
    <row r="645" spans="2:8" x14ac:dyDescent="0.3">
      <c r="B645"/>
      <c r="H645"/>
    </row>
    <row r="646" spans="2:8" x14ac:dyDescent="0.3">
      <c r="B646"/>
      <c r="H646"/>
    </row>
    <row r="647" spans="2:8" x14ac:dyDescent="0.3">
      <c r="B647"/>
      <c r="H647"/>
    </row>
    <row r="648" spans="2:8" x14ac:dyDescent="0.3">
      <c r="B648"/>
      <c r="H648"/>
    </row>
    <row r="649" spans="2:8" x14ac:dyDescent="0.3">
      <c r="B649"/>
      <c r="H649"/>
    </row>
    <row r="650" spans="2:8" x14ac:dyDescent="0.3">
      <c r="B650"/>
      <c r="H650"/>
    </row>
    <row r="651" spans="2:8" x14ac:dyDescent="0.3">
      <c r="B651"/>
      <c r="H651"/>
    </row>
    <row r="652" spans="2:8" x14ac:dyDescent="0.3">
      <c r="B652"/>
      <c r="H652"/>
    </row>
    <row r="653" spans="2:8" x14ac:dyDescent="0.3">
      <c r="B653"/>
      <c r="H653"/>
    </row>
    <row r="654" spans="2:8" x14ac:dyDescent="0.3">
      <c r="B654"/>
      <c r="H654"/>
    </row>
    <row r="655" spans="2:8" x14ac:dyDescent="0.3">
      <c r="B655"/>
      <c r="H655"/>
    </row>
    <row r="656" spans="2:8" x14ac:dyDescent="0.3">
      <c r="B656"/>
      <c r="H656"/>
    </row>
    <row r="657" spans="2:8" x14ac:dyDescent="0.3">
      <c r="B657"/>
      <c r="H657"/>
    </row>
    <row r="658" spans="2:8" x14ac:dyDescent="0.3">
      <c r="B658"/>
      <c r="H658"/>
    </row>
    <row r="659" spans="2:8" x14ac:dyDescent="0.3">
      <c r="B659"/>
      <c r="H659"/>
    </row>
    <row r="660" spans="2:8" x14ac:dyDescent="0.3">
      <c r="B660"/>
      <c r="H660"/>
    </row>
    <row r="661" spans="2:8" x14ac:dyDescent="0.3">
      <c r="B661"/>
      <c r="H661"/>
    </row>
    <row r="662" spans="2:8" x14ac:dyDescent="0.3">
      <c r="B662"/>
      <c r="H662"/>
    </row>
    <row r="663" spans="2:8" x14ac:dyDescent="0.3">
      <c r="B663"/>
      <c r="H663"/>
    </row>
    <row r="664" spans="2:8" x14ac:dyDescent="0.3">
      <c r="B664"/>
      <c r="H664"/>
    </row>
    <row r="665" spans="2:8" x14ac:dyDescent="0.3">
      <c r="B665"/>
      <c r="H665"/>
    </row>
    <row r="666" spans="2:8" x14ac:dyDescent="0.3">
      <c r="B666"/>
      <c r="H666"/>
    </row>
    <row r="667" spans="2:8" x14ac:dyDescent="0.3">
      <c r="B667"/>
      <c r="H667"/>
    </row>
    <row r="668" spans="2:8" x14ac:dyDescent="0.3">
      <c r="B668"/>
      <c r="H668"/>
    </row>
    <row r="669" spans="2:8" x14ac:dyDescent="0.3">
      <c r="B669"/>
      <c r="H669"/>
    </row>
    <row r="670" spans="2:8" x14ac:dyDescent="0.3">
      <c r="B670"/>
      <c r="H670"/>
    </row>
    <row r="671" spans="2:8" x14ac:dyDescent="0.3">
      <c r="B671"/>
      <c r="H671"/>
    </row>
    <row r="672" spans="2:8" x14ac:dyDescent="0.3">
      <c r="B672"/>
      <c r="H672"/>
    </row>
    <row r="673" spans="2:8" x14ac:dyDescent="0.3">
      <c r="B673"/>
      <c r="H673"/>
    </row>
    <row r="674" spans="2:8" x14ac:dyDescent="0.3">
      <c r="B674"/>
      <c r="H674"/>
    </row>
    <row r="675" spans="2:8" x14ac:dyDescent="0.3">
      <c r="B675"/>
      <c r="H675"/>
    </row>
    <row r="676" spans="2:8" x14ac:dyDescent="0.3">
      <c r="B676"/>
      <c r="H676"/>
    </row>
    <row r="677" spans="2:8" x14ac:dyDescent="0.3">
      <c r="B677"/>
      <c r="H677"/>
    </row>
    <row r="678" spans="2:8" x14ac:dyDescent="0.3">
      <c r="B678"/>
      <c r="H678"/>
    </row>
    <row r="679" spans="2:8" x14ac:dyDescent="0.3">
      <c r="B679"/>
      <c r="H679"/>
    </row>
    <row r="680" spans="2:8" x14ac:dyDescent="0.3">
      <c r="B680"/>
      <c r="H680"/>
    </row>
    <row r="681" spans="2:8" x14ac:dyDescent="0.3">
      <c r="B681"/>
      <c r="H681"/>
    </row>
    <row r="682" spans="2:8" x14ac:dyDescent="0.3">
      <c r="B682"/>
      <c r="H682"/>
    </row>
    <row r="683" spans="2:8" x14ac:dyDescent="0.3">
      <c r="B683"/>
      <c r="H683"/>
    </row>
    <row r="684" spans="2:8" x14ac:dyDescent="0.3">
      <c r="B684"/>
      <c r="H684"/>
    </row>
    <row r="685" spans="2:8" x14ac:dyDescent="0.3">
      <c r="B685"/>
      <c r="H685"/>
    </row>
    <row r="686" spans="2:8" x14ac:dyDescent="0.3">
      <c r="B686"/>
      <c r="H686"/>
    </row>
    <row r="687" spans="2:8" x14ac:dyDescent="0.3">
      <c r="B687"/>
      <c r="H687"/>
    </row>
    <row r="688" spans="2:8" x14ac:dyDescent="0.3">
      <c r="B688"/>
      <c r="H688"/>
    </row>
    <row r="689" spans="2:8" x14ac:dyDescent="0.3">
      <c r="B689"/>
      <c r="H689"/>
    </row>
    <row r="690" spans="2:8" x14ac:dyDescent="0.3">
      <c r="B690"/>
      <c r="H690"/>
    </row>
    <row r="691" spans="2:8" x14ac:dyDescent="0.3">
      <c r="B691"/>
      <c r="H691"/>
    </row>
    <row r="692" spans="2:8" x14ac:dyDescent="0.3">
      <c r="B692"/>
      <c r="H692"/>
    </row>
    <row r="693" spans="2:8" x14ac:dyDescent="0.3">
      <c r="B693"/>
      <c r="H693"/>
    </row>
    <row r="694" spans="2:8" x14ac:dyDescent="0.3">
      <c r="B694"/>
      <c r="H694"/>
    </row>
    <row r="695" spans="2:8" x14ac:dyDescent="0.3">
      <c r="B695"/>
      <c r="H695"/>
    </row>
    <row r="696" spans="2:8" x14ac:dyDescent="0.3">
      <c r="B696"/>
      <c r="H696"/>
    </row>
    <row r="697" spans="2:8" x14ac:dyDescent="0.3">
      <c r="B697"/>
      <c r="H697"/>
    </row>
    <row r="698" spans="2:8" x14ac:dyDescent="0.3">
      <c r="B698"/>
      <c r="H698"/>
    </row>
    <row r="699" spans="2:8" x14ac:dyDescent="0.3">
      <c r="B699"/>
      <c r="H699"/>
    </row>
    <row r="700" spans="2:8" x14ac:dyDescent="0.3">
      <c r="B700"/>
      <c r="H700"/>
    </row>
    <row r="701" spans="2:8" x14ac:dyDescent="0.3">
      <c r="B701"/>
      <c r="H701"/>
    </row>
    <row r="702" spans="2:8" x14ac:dyDescent="0.3">
      <c r="B702"/>
      <c r="H702"/>
    </row>
    <row r="703" spans="2:8" x14ac:dyDescent="0.3">
      <c r="B703"/>
      <c r="H703"/>
    </row>
    <row r="704" spans="2:8" x14ac:dyDescent="0.3">
      <c r="B704"/>
      <c r="H704"/>
    </row>
    <row r="705" spans="2:8" x14ac:dyDescent="0.3">
      <c r="B705"/>
      <c r="H705"/>
    </row>
    <row r="706" spans="2:8" x14ac:dyDescent="0.3">
      <c r="B706"/>
      <c r="H706"/>
    </row>
    <row r="707" spans="2:8" x14ac:dyDescent="0.3">
      <c r="B707"/>
      <c r="H707"/>
    </row>
    <row r="708" spans="2:8" x14ac:dyDescent="0.3">
      <c r="B708"/>
      <c r="H708"/>
    </row>
    <row r="709" spans="2:8" x14ac:dyDescent="0.3">
      <c r="B709"/>
      <c r="H709"/>
    </row>
    <row r="710" spans="2:8" x14ac:dyDescent="0.3">
      <c r="B710"/>
      <c r="H710"/>
    </row>
    <row r="711" spans="2:8" x14ac:dyDescent="0.3">
      <c r="B711"/>
      <c r="H711"/>
    </row>
    <row r="712" spans="2:8" x14ac:dyDescent="0.3">
      <c r="B712"/>
      <c r="H712"/>
    </row>
    <row r="713" spans="2:8" x14ac:dyDescent="0.3">
      <c r="B713"/>
      <c r="H713"/>
    </row>
    <row r="714" spans="2:8" x14ac:dyDescent="0.3">
      <c r="B714"/>
      <c r="H714"/>
    </row>
    <row r="715" spans="2:8" x14ac:dyDescent="0.3">
      <c r="B715"/>
      <c r="H715"/>
    </row>
    <row r="716" spans="2:8" x14ac:dyDescent="0.3">
      <c r="B716"/>
      <c r="H716"/>
    </row>
    <row r="717" spans="2:8" x14ac:dyDescent="0.3">
      <c r="B717"/>
      <c r="H717"/>
    </row>
    <row r="718" spans="2:8" x14ac:dyDescent="0.3">
      <c r="B718"/>
      <c r="H718"/>
    </row>
    <row r="719" spans="2:8" x14ac:dyDescent="0.3">
      <c r="B719"/>
      <c r="H719"/>
    </row>
    <row r="720" spans="2:8" x14ac:dyDescent="0.3">
      <c r="B720"/>
      <c r="H720"/>
    </row>
    <row r="721" spans="2:8" x14ac:dyDescent="0.3">
      <c r="B721"/>
      <c r="H721"/>
    </row>
    <row r="722" spans="2:8" x14ac:dyDescent="0.3">
      <c r="B722"/>
      <c r="H722"/>
    </row>
    <row r="723" spans="2:8" x14ac:dyDescent="0.3">
      <c r="B723"/>
      <c r="H723"/>
    </row>
    <row r="724" spans="2:8" x14ac:dyDescent="0.3">
      <c r="B724"/>
      <c r="H724"/>
    </row>
    <row r="725" spans="2:8" x14ac:dyDescent="0.3">
      <c r="B725"/>
      <c r="H725"/>
    </row>
    <row r="726" spans="2:8" x14ac:dyDescent="0.3">
      <c r="B726"/>
      <c r="H726"/>
    </row>
    <row r="727" spans="2:8" x14ac:dyDescent="0.3">
      <c r="B727"/>
      <c r="H727"/>
    </row>
    <row r="728" spans="2:8" x14ac:dyDescent="0.3">
      <c r="B728"/>
      <c r="H728"/>
    </row>
    <row r="729" spans="2:8" x14ac:dyDescent="0.3">
      <c r="B729"/>
      <c r="H729"/>
    </row>
    <row r="730" spans="2:8" x14ac:dyDescent="0.3">
      <c r="B730"/>
      <c r="H730"/>
    </row>
    <row r="731" spans="2:8" x14ac:dyDescent="0.3">
      <c r="B731"/>
      <c r="H731"/>
    </row>
    <row r="732" spans="2:8" x14ac:dyDescent="0.3">
      <c r="B732"/>
      <c r="H732"/>
    </row>
    <row r="733" spans="2:8" x14ac:dyDescent="0.3">
      <c r="B733"/>
      <c r="H733"/>
    </row>
    <row r="734" spans="2:8" x14ac:dyDescent="0.3">
      <c r="B734"/>
      <c r="H734"/>
    </row>
    <row r="735" spans="2:8" x14ac:dyDescent="0.3">
      <c r="B735"/>
      <c r="H735"/>
    </row>
    <row r="736" spans="2:8" x14ac:dyDescent="0.3">
      <c r="B736"/>
      <c r="H736"/>
    </row>
    <row r="737" spans="2:8" x14ac:dyDescent="0.3">
      <c r="B737"/>
      <c r="H737"/>
    </row>
    <row r="738" spans="2:8" x14ac:dyDescent="0.3">
      <c r="B738"/>
      <c r="H738"/>
    </row>
    <row r="739" spans="2:8" x14ac:dyDescent="0.3">
      <c r="B739"/>
      <c r="H739"/>
    </row>
    <row r="740" spans="2:8" x14ac:dyDescent="0.3">
      <c r="B740"/>
      <c r="H740"/>
    </row>
    <row r="741" spans="2:8" x14ac:dyDescent="0.3">
      <c r="B741"/>
      <c r="H741"/>
    </row>
    <row r="742" spans="2:8" x14ac:dyDescent="0.3">
      <c r="B742"/>
      <c r="H742"/>
    </row>
    <row r="743" spans="2:8" x14ac:dyDescent="0.3">
      <c r="B743"/>
      <c r="H743"/>
    </row>
    <row r="744" spans="2:8" x14ac:dyDescent="0.3">
      <c r="B744"/>
      <c r="H744"/>
    </row>
    <row r="745" spans="2:8" x14ac:dyDescent="0.3">
      <c r="B745"/>
      <c r="H745"/>
    </row>
    <row r="746" spans="2:8" x14ac:dyDescent="0.3">
      <c r="B746"/>
      <c r="H746"/>
    </row>
    <row r="747" spans="2:8" x14ac:dyDescent="0.3">
      <c r="B747"/>
      <c r="H747"/>
    </row>
    <row r="748" spans="2:8" x14ac:dyDescent="0.3">
      <c r="B748"/>
      <c r="H748"/>
    </row>
    <row r="749" spans="2:8" x14ac:dyDescent="0.3">
      <c r="B749"/>
      <c r="H749"/>
    </row>
    <row r="750" spans="2:8" x14ac:dyDescent="0.3">
      <c r="B750"/>
      <c r="H750"/>
    </row>
    <row r="751" spans="2:8" x14ac:dyDescent="0.3">
      <c r="B751"/>
      <c r="H751"/>
    </row>
    <row r="752" spans="2:8" x14ac:dyDescent="0.3">
      <c r="B752"/>
      <c r="H752"/>
    </row>
    <row r="753" spans="2:8" x14ac:dyDescent="0.3">
      <c r="B753"/>
      <c r="H753"/>
    </row>
    <row r="754" spans="2:8" x14ac:dyDescent="0.3">
      <c r="B754"/>
      <c r="H754"/>
    </row>
    <row r="755" spans="2:8" x14ac:dyDescent="0.3">
      <c r="B755"/>
      <c r="H755"/>
    </row>
    <row r="756" spans="2:8" x14ac:dyDescent="0.3">
      <c r="B756"/>
      <c r="H756"/>
    </row>
    <row r="757" spans="2:8" x14ac:dyDescent="0.3">
      <c r="B757"/>
      <c r="H757"/>
    </row>
    <row r="758" spans="2:8" x14ac:dyDescent="0.3">
      <c r="B758"/>
      <c r="H758"/>
    </row>
    <row r="759" spans="2:8" x14ac:dyDescent="0.3">
      <c r="B759"/>
      <c r="H759"/>
    </row>
    <row r="760" spans="2:8" x14ac:dyDescent="0.3">
      <c r="B760"/>
      <c r="H760"/>
    </row>
    <row r="761" spans="2:8" x14ac:dyDescent="0.3">
      <c r="B761"/>
      <c r="H761"/>
    </row>
    <row r="762" spans="2:8" x14ac:dyDescent="0.3">
      <c r="B762"/>
      <c r="H762"/>
    </row>
    <row r="763" spans="2:8" x14ac:dyDescent="0.3">
      <c r="B763"/>
      <c r="H763"/>
    </row>
    <row r="764" spans="2:8" x14ac:dyDescent="0.3">
      <c r="B764"/>
      <c r="H764"/>
    </row>
    <row r="765" spans="2:8" x14ac:dyDescent="0.3">
      <c r="B765"/>
      <c r="H765"/>
    </row>
    <row r="766" spans="2:8" x14ac:dyDescent="0.3">
      <c r="B766"/>
      <c r="H766"/>
    </row>
    <row r="767" spans="2:8" x14ac:dyDescent="0.3">
      <c r="B767"/>
      <c r="H767"/>
    </row>
    <row r="768" spans="2:8" x14ac:dyDescent="0.3">
      <c r="B768"/>
      <c r="H768"/>
    </row>
    <row r="769" spans="2:8" x14ac:dyDescent="0.3">
      <c r="B769"/>
      <c r="H769"/>
    </row>
    <row r="770" spans="2:8" x14ac:dyDescent="0.3">
      <c r="B770"/>
      <c r="H770"/>
    </row>
    <row r="771" spans="2:8" x14ac:dyDescent="0.3">
      <c r="B771"/>
      <c r="H771"/>
    </row>
    <row r="772" spans="2:8" x14ac:dyDescent="0.3">
      <c r="B772"/>
      <c r="H772"/>
    </row>
    <row r="773" spans="2:8" x14ac:dyDescent="0.3">
      <c r="B773"/>
      <c r="H773"/>
    </row>
    <row r="774" spans="2:8" x14ac:dyDescent="0.3">
      <c r="B774"/>
      <c r="H774"/>
    </row>
    <row r="775" spans="2:8" x14ac:dyDescent="0.3">
      <c r="B775"/>
      <c r="H775"/>
    </row>
    <row r="776" spans="2:8" x14ac:dyDescent="0.3">
      <c r="B776"/>
      <c r="H776"/>
    </row>
    <row r="777" spans="2:8" x14ac:dyDescent="0.3">
      <c r="B777"/>
      <c r="H777"/>
    </row>
    <row r="778" spans="2:8" x14ac:dyDescent="0.3">
      <c r="B778"/>
      <c r="H778"/>
    </row>
    <row r="779" spans="2:8" x14ac:dyDescent="0.3">
      <c r="B779"/>
      <c r="H779"/>
    </row>
    <row r="780" spans="2:8" x14ac:dyDescent="0.3">
      <c r="B780"/>
      <c r="H780"/>
    </row>
    <row r="781" spans="2:8" x14ac:dyDescent="0.3">
      <c r="B781"/>
      <c r="H781"/>
    </row>
    <row r="782" spans="2:8" x14ac:dyDescent="0.3">
      <c r="B782"/>
      <c r="H782"/>
    </row>
    <row r="783" spans="2:8" x14ac:dyDescent="0.3">
      <c r="B783"/>
      <c r="H783"/>
    </row>
    <row r="784" spans="2:8" x14ac:dyDescent="0.3">
      <c r="B784"/>
      <c r="H784"/>
    </row>
    <row r="785" spans="2:8" x14ac:dyDescent="0.3">
      <c r="B785"/>
      <c r="H785"/>
    </row>
    <row r="786" spans="2:8" x14ac:dyDescent="0.3">
      <c r="B786"/>
      <c r="H786"/>
    </row>
    <row r="787" spans="2:8" x14ac:dyDescent="0.3">
      <c r="B787"/>
      <c r="H787"/>
    </row>
    <row r="788" spans="2:8" x14ac:dyDescent="0.3">
      <c r="B788"/>
      <c r="H788"/>
    </row>
    <row r="789" spans="2:8" x14ac:dyDescent="0.3">
      <c r="B789"/>
      <c r="H789"/>
    </row>
    <row r="790" spans="2:8" x14ac:dyDescent="0.3">
      <c r="B790"/>
      <c r="H790"/>
    </row>
    <row r="791" spans="2:8" x14ac:dyDescent="0.3">
      <c r="B791"/>
      <c r="H791"/>
    </row>
    <row r="792" spans="2:8" x14ac:dyDescent="0.3">
      <c r="B792"/>
      <c r="H792"/>
    </row>
    <row r="793" spans="2:8" x14ac:dyDescent="0.3">
      <c r="B793"/>
      <c r="H793"/>
    </row>
    <row r="794" spans="2:8" x14ac:dyDescent="0.3">
      <c r="B794"/>
      <c r="H794"/>
    </row>
    <row r="795" spans="2:8" x14ac:dyDescent="0.3">
      <c r="B795"/>
      <c r="H795"/>
    </row>
    <row r="796" spans="2:8" x14ac:dyDescent="0.3">
      <c r="B796"/>
      <c r="H796"/>
    </row>
    <row r="797" spans="2:8" x14ac:dyDescent="0.3">
      <c r="B797"/>
      <c r="H797"/>
    </row>
    <row r="798" spans="2:8" x14ac:dyDescent="0.3">
      <c r="B798"/>
      <c r="H798"/>
    </row>
    <row r="799" spans="2:8" x14ac:dyDescent="0.3">
      <c r="B799"/>
      <c r="H799"/>
    </row>
    <row r="800" spans="2:8" x14ac:dyDescent="0.3">
      <c r="B800"/>
      <c r="H800"/>
    </row>
    <row r="801" spans="2:8" x14ac:dyDescent="0.3">
      <c r="B801"/>
      <c r="H801"/>
    </row>
    <row r="802" spans="2:8" x14ac:dyDescent="0.3">
      <c r="B802"/>
      <c r="H802"/>
    </row>
    <row r="803" spans="2:8" x14ac:dyDescent="0.3">
      <c r="B803"/>
      <c r="H803"/>
    </row>
    <row r="804" spans="2:8" x14ac:dyDescent="0.3">
      <c r="B804"/>
      <c r="H804"/>
    </row>
    <row r="805" spans="2:8" x14ac:dyDescent="0.3">
      <c r="B805"/>
      <c r="H805"/>
    </row>
    <row r="806" spans="2:8" x14ac:dyDescent="0.3">
      <c r="B806"/>
      <c r="H806"/>
    </row>
    <row r="807" spans="2:8" x14ac:dyDescent="0.3">
      <c r="B807"/>
      <c r="H807"/>
    </row>
    <row r="808" spans="2:8" x14ac:dyDescent="0.3">
      <c r="B808"/>
      <c r="H808"/>
    </row>
    <row r="809" spans="2:8" x14ac:dyDescent="0.3">
      <c r="B809"/>
      <c r="H809"/>
    </row>
    <row r="810" spans="2:8" x14ac:dyDescent="0.3">
      <c r="B810"/>
      <c r="H810"/>
    </row>
    <row r="811" spans="2:8" x14ac:dyDescent="0.3">
      <c r="B811"/>
      <c r="H811"/>
    </row>
    <row r="812" spans="2:8" x14ac:dyDescent="0.3">
      <c r="B812"/>
      <c r="H812"/>
    </row>
    <row r="813" spans="2:8" x14ac:dyDescent="0.3">
      <c r="B813"/>
      <c r="H813"/>
    </row>
    <row r="814" spans="2:8" x14ac:dyDescent="0.3">
      <c r="B814"/>
      <c r="H814"/>
    </row>
    <row r="815" spans="2:8" x14ac:dyDescent="0.3">
      <c r="B815"/>
      <c r="H815"/>
    </row>
    <row r="816" spans="2:8" x14ac:dyDescent="0.3">
      <c r="B816"/>
      <c r="H816"/>
    </row>
    <row r="817" spans="2:8" x14ac:dyDescent="0.3">
      <c r="B817"/>
      <c r="H817"/>
    </row>
    <row r="818" spans="2:8" x14ac:dyDescent="0.3">
      <c r="B818"/>
      <c r="H818"/>
    </row>
    <row r="819" spans="2:8" x14ac:dyDescent="0.3">
      <c r="B819"/>
      <c r="H819"/>
    </row>
    <row r="820" spans="2:8" x14ac:dyDescent="0.3">
      <c r="B820"/>
      <c r="H820"/>
    </row>
    <row r="821" spans="2:8" x14ac:dyDescent="0.3">
      <c r="B821"/>
      <c r="H821"/>
    </row>
    <row r="822" spans="2:8" x14ac:dyDescent="0.3">
      <c r="B822"/>
      <c r="H822"/>
    </row>
    <row r="823" spans="2:8" x14ac:dyDescent="0.3">
      <c r="B823"/>
      <c r="H823"/>
    </row>
    <row r="824" spans="2:8" x14ac:dyDescent="0.3">
      <c r="B824"/>
      <c r="H824"/>
    </row>
    <row r="825" spans="2:8" x14ac:dyDescent="0.3">
      <c r="B825"/>
      <c r="H825"/>
    </row>
    <row r="826" spans="2:8" x14ac:dyDescent="0.3">
      <c r="B826"/>
      <c r="H826"/>
    </row>
    <row r="827" spans="2:8" x14ac:dyDescent="0.3">
      <c r="B827"/>
      <c r="H827"/>
    </row>
    <row r="828" spans="2:8" x14ac:dyDescent="0.3">
      <c r="B828"/>
      <c r="H828"/>
    </row>
    <row r="829" spans="2:8" x14ac:dyDescent="0.3">
      <c r="B829"/>
      <c r="H829"/>
    </row>
    <row r="830" spans="2:8" x14ac:dyDescent="0.3">
      <c r="B830"/>
      <c r="H830"/>
    </row>
    <row r="831" spans="2:8" x14ac:dyDescent="0.3">
      <c r="B831"/>
      <c r="H831"/>
    </row>
    <row r="832" spans="2:8" x14ac:dyDescent="0.3">
      <c r="B832"/>
      <c r="H832"/>
    </row>
    <row r="833" spans="2:8" x14ac:dyDescent="0.3">
      <c r="B833"/>
      <c r="H833"/>
    </row>
    <row r="834" spans="2:8" x14ac:dyDescent="0.3">
      <c r="B834"/>
      <c r="H834"/>
    </row>
    <row r="835" spans="2:8" x14ac:dyDescent="0.3">
      <c r="B835"/>
      <c r="H835"/>
    </row>
    <row r="836" spans="2:8" x14ac:dyDescent="0.3">
      <c r="B836"/>
      <c r="H836"/>
    </row>
    <row r="837" spans="2:8" x14ac:dyDescent="0.3">
      <c r="B837"/>
      <c r="H837"/>
    </row>
    <row r="838" spans="2:8" x14ac:dyDescent="0.3">
      <c r="B838"/>
      <c r="H838"/>
    </row>
    <row r="839" spans="2:8" x14ac:dyDescent="0.3">
      <c r="B839"/>
      <c r="H839"/>
    </row>
    <row r="840" spans="2:8" x14ac:dyDescent="0.3">
      <c r="B840"/>
      <c r="H840"/>
    </row>
    <row r="841" spans="2:8" x14ac:dyDescent="0.3">
      <c r="B841"/>
      <c r="H841"/>
    </row>
    <row r="842" spans="2:8" x14ac:dyDescent="0.3">
      <c r="B842"/>
      <c r="H842"/>
    </row>
    <row r="843" spans="2:8" x14ac:dyDescent="0.3">
      <c r="B843"/>
      <c r="H843"/>
    </row>
    <row r="844" spans="2:8" x14ac:dyDescent="0.3">
      <c r="B844"/>
      <c r="H844"/>
    </row>
    <row r="845" spans="2:8" x14ac:dyDescent="0.3">
      <c r="B845"/>
      <c r="H845"/>
    </row>
    <row r="846" spans="2:8" x14ac:dyDescent="0.3">
      <c r="B846"/>
      <c r="H846"/>
    </row>
    <row r="847" spans="2:8" x14ac:dyDescent="0.3">
      <c r="B847"/>
      <c r="H847"/>
    </row>
    <row r="848" spans="2:8" x14ac:dyDescent="0.3">
      <c r="B848"/>
      <c r="H848"/>
    </row>
    <row r="849" spans="2:8" x14ac:dyDescent="0.3">
      <c r="B849"/>
      <c r="H849"/>
    </row>
    <row r="850" spans="2:8" x14ac:dyDescent="0.3">
      <c r="B850"/>
      <c r="H850"/>
    </row>
    <row r="851" spans="2:8" x14ac:dyDescent="0.3">
      <c r="B851"/>
      <c r="H851"/>
    </row>
    <row r="852" spans="2:8" x14ac:dyDescent="0.3">
      <c r="B852"/>
      <c r="H852"/>
    </row>
    <row r="853" spans="2:8" x14ac:dyDescent="0.3">
      <c r="B853"/>
      <c r="H853"/>
    </row>
    <row r="854" spans="2:8" x14ac:dyDescent="0.3">
      <c r="B854"/>
      <c r="H854"/>
    </row>
    <row r="855" spans="2:8" x14ac:dyDescent="0.3">
      <c r="B855"/>
      <c r="H855"/>
    </row>
    <row r="856" spans="2:8" x14ac:dyDescent="0.3">
      <c r="B856"/>
      <c r="H856"/>
    </row>
    <row r="857" spans="2:8" x14ac:dyDescent="0.3">
      <c r="B857"/>
      <c r="H857"/>
    </row>
    <row r="858" spans="2:8" x14ac:dyDescent="0.3">
      <c r="B858"/>
      <c r="H858"/>
    </row>
    <row r="859" spans="2:8" x14ac:dyDescent="0.3">
      <c r="B859"/>
      <c r="H859"/>
    </row>
    <row r="860" spans="2:8" x14ac:dyDescent="0.3">
      <c r="B860"/>
      <c r="H860"/>
    </row>
    <row r="861" spans="2:8" x14ac:dyDescent="0.3">
      <c r="B861"/>
      <c r="H861"/>
    </row>
    <row r="862" spans="2:8" x14ac:dyDescent="0.3">
      <c r="B862"/>
      <c r="H862"/>
    </row>
    <row r="863" spans="2:8" x14ac:dyDescent="0.3">
      <c r="B863"/>
      <c r="H863"/>
    </row>
    <row r="864" spans="2:8" x14ac:dyDescent="0.3">
      <c r="B864"/>
      <c r="H864"/>
    </row>
    <row r="865" spans="2:8" x14ac:dyDescent="0.3">
      <c r="B865"/>
      <c r="H865"/>
    </row>
    <row r="866" spans="2:8" x14ac:dyDescent="0.3">
      <c r="B866"/>
      <c r="H866"/>
    </row>
    <row r="867" spans="2:8" x14ac:dyDescent="0.3">
      <c r="B867"/>
      <c r="H867"/>
    </row>
    <row r="868" spans="2:8" x14ac:dyDescent="0.3">
      <c r="B868"/>
      <c r="H868"/>
    </row>
    <row r="869" spans="2:8" x14ac:dyDescent="0.3">
      <c r="B869"/>
      <c r="H869"/>
    </row>
    <row r="870" spans="2:8" x14ac:dyDescent="0.3">
      <c r="B870"/>
      <c r="H870"/>
    </row>
    <row r="871" spans="2:8" x14ac:dyDescent="0.3">
      <c r="B871"/>
      <c r="H871"/>
    </row>
    <row r="872" spans="2:8" x14ac:dyDescent="0.3">
      <c r="B872"/>
      <c r="H872"/>
    </row>
    <row r="873" spans="2:8" x14ac:dyDescent="0.3">
      <c r="B873"/>
      <c r="H873"/>
    </row>
    <row r="874" spans="2:8" x14ac:dyDescent="0.3">
      <c r="B874"/>
      <c r="H874"/>
    </row>
    <row r="875" spans="2:8" x14ac:dyDescent="0.3">
      <c r="B875"/>
      <c r="H875"/>
    </row>
    <row r="876" spans="2:8" x14ac:dyDescent="0.3">
      <c r="B876"/>
      <c r="H876"/>
    </row>
    <row r="877" spans="2:8" x14ac:dyDescent="0.3">
      <c r="B877"/>
      <c r="H877"/>
    </row>
    <row r="878" spans="2:8" x14ac:dyDescent="0.3">
      <c r="B878"/>
      <c r="H878"/>
    </row>
    <row r="879" spans="2:8" x14ac:dyDescent="0.3">
      <c r="B879"/>
      <c r="H879"/>
    </row>
    <row r="880" spans="2:8" x14ac:dyDescent="0.3">
      <c r="B880"/>
      <c r="H880"/>
    </row>
    <row r="881" spans="2:8" x14ac:dyDescent="0.3">
      <c r="B881"/>
      <c r="H881"/>
    </row>
    <row r="882" spans="2:8" x14ac:dyDescent="0.3">
      <c r="B882"/>
      <c r="H882"/>
    </row>
    <row r="883" spans="2:8" x14ac:dyDescent="0.3">
      <c r="B883"/>
      <c r="H883"/>
    </row>
    <row r="884" spans="2:8" x14ac:dyDescent="0.3">
      <c r="B884"/>
      <c r="H884"/>
    </row>
    <row r="885" spans="2:8" x14ac:dyDescent="0.3">
      <c r="B885"/>
      <c r="H885"/>
    </row>
    <row r="886" spans="2:8" x14ac:dyDescent="0.3">
      <c r="B886"/>
      <c r="H886"/>
    </row>
    <row r="887" spans="2:8" x14ac:dyDescent="0.3">
      <c r="B887"/>
      <c r="H887"/>
    </row>
    <row r="888" spans="2:8" x14ac:dyDescent="0.3">
      <c r="B888"/>
      <c r="H888"/>
    </row>
    <row r="889" spans="2:8" x14ac:dyDescent="0.3">
      <c r="B889"/>
      <c r="H889"/>
    </row>
    <row r="890" spans="2:8" x14ac:dyDescent="0.3">
      <c r="B890"/>
      <c r="H890"/>
    </row>
    <row r="891" spans="2:8" x14ac:dyDescent="0.3">
      <c r="B891"/>
      <c r="H891"/>
    </row>
    <row r="892" spans="2:8" x14ac:dyDescent="0.3">
      <c r="B892"/>
      <c r="H892"/>
    </row>
    <row r="893" spans="2:8" x14ac:dyDescent="0.3">
      <c r="B893"/>
      <c r="H893"/>
    </row>
    <row r="894" spans="2:8" x14ac:dyDescent="0.3">
      <c r="B894"/>
      <c r="H894"/>
    </row>
    <row r="895" spans="2:8" x14ac:dyDescent="0.3">
      <c r="B895"/>
      <c r="H895"/>
    </row>
    <row r="896" spans="2:8" x14ac:dyDescent="0.3">
      <c r="B896"/>
      <c r="H896"/>
    </row>
    <row r="897" spans="2:8" x14ac:dyDescent="0.3">
      <c r="B897"/>
      <c r="H897"/>
    </row>
    <row r="898" spans="2:8" x14ac:dyDescent="0.3">
      <c r="B898"/>
      <c r="H898"/>
    </row>
    <row r="899" spans="2:8" x14ac:dyDescent="0.3">
      <c r="B899"/>
      <c r="H899"/>
    </row>
    <row r="900" spans="2:8" x14ac:dyDescent="0.3">
      <c r="B900"/>
      <c r="H900"/>
    </row>
    <row r="901" spans="2:8" x14ac:dyDescent="0.3">
      <c r="B901"/>
      <c r="H901"/>
    </row>
    <row r="902" spans="2:8" x14ac:dyDescent="0.3">
      <c r="B902"/>
      <c r="H902"/>
    </row>
    <row r="903" spans="2:8" x14ac:dyDescent="0.3">
      <c r="B903"/>
      <c r="H903"/>
    </row>
    <row r="904" spans="2:8" x14ac:dyDescent="0.3">
      <c r="B904"/>
      <c r="H904"/>
    </row>
    <row r="905" spans="2:8" x14ac:dyDescent="0.3">
      <c r="B905"/>
      <c r="H905"/>
    </row>
    <row r="906" spans="2:8" x14ac:dyDescent="0.3">
      <c r="B906"/>
      <c r="H906"/>
    </row>
    <row r="907" spans="2:8" x14ac:dyDescent="0.3">
      <c r="B907"/>
      <c r="H907"/>
    </row>
    <row r="908" spans="2:8" x14ac:dyDescent="0.3">
      <c r="B908"/>
      <c r="H908"/>
    </row>
    <row r="909" spans="2:8" x14ac:dyDescent="0.3">
      <c r="B909"/>
      <c r="H909"/>
    </row>
    <row r="910" spans="2:8" x14ac:dyDescent="0.3">
      <c r="B910"/>
      <c r="H910"/>
    </row>
    <row r="911" spans="2:8" x14ac:dyDescent="0.3">
      <c r="B911"/>
      <c r="H911"/>
    </row>
    <row r="912" spans="2:8" x14ac:dyDescent="0.3">
      <c r="B912"/>
      <c r="H912"/>
    </row>
    <row r="913" spans="2:8" x14ac:dyDescent="0.3">
      <c r="B913"/>
      <c r="H913"/>
    </row>
    <row r="914" spans="2:8" x14ac:dyDescent="0.3">
      <c r="B914"/>
      <c r="H914"/>
    </row>
    <row r="915" spans="2:8" x14ac:dyDescent="0.3">
      <c r="B915"/>
      <c r="H915"/>
    </row>
    <row r="916" spans="2:8" x14ac:dyDescent="0.3">
      <c r="B916"/>
      <c r="H916"/>
    </row>
    <row r="917" spans="2:8" x14ac:dyDescent="0.3">
      <c r="B917"/>
      <c r="H917"/>
    </row>
    <row r="918" spans="2:8" x14ac:dyDescent="0.3">
      <c r="B918"/>
      <c r="H918"/>
    </row>
    <row r="919" spans="2:8" x14ac:dyDescent="0.3">
      <c r="B919"/>
      <c r="H919"/>
    </row>
    <row r="920" spans="2:8" x14ac:dyDescent="0.3">
      <c r="B920"/>
      <c r="H920"/>
    </row>
    <row r="921" spans="2:8" x14ac:dyDescent="0.3">
      <c r="B921"/>
      <c r="H921"/>
    </row>
    <row r="922" spans="2:8" x14ac:dyDescent="0.3">
      <c r="B922"/>
      <c r="H922"/>
    </row>
    <row r="923" spans="2:8" x14ac:dyDescent="0.3">
      <c r="B923"/>
      <c r="H923"/>
    </row>
    <row r="924" spans="2:8" x14ac:dyDescent="0.3">
      <c r="B924"/>
      <c r="H924"/>
    </row>
    <row r="925" spans="2:8" x14ac:dyDescent="0.3">
      <c r="B925"/>
      <c r="H925"/>
    </row>
    <row r="926" spans="2:8" x14ac:dyDescent="0.3">
      <c r="B926"/>
      <c r="H926"/>
    </row>
    <row r="927" spans="2:8" x14ac:dyDescent="0.3">
      <c r="B927"/>
      <c r="H927"/>
    </row>
    <row r="928" spans="2:8" x14ac:dyDescent="0.3">
      <c r="B928"/>
      <c r="H928"/>
    </row>
    <row r="929" spans="2:8" x14ac:dyDescent="0.3">
      <c r="B929"/>
      <c r="H929"/>
    </row>
    <row r="930" spans="2:8" x14ac:dyDescent="0.3">
      <c r="B930"/>
      <c r="H930"/>
    </row>
    <row r="931" spans="2:8" x14ac:dyDescent="0.3">
      <c r="B931"/>
      <c r="H931"/>
    </row>
    <row r="932" spans="2:8" x14ac:dyDescent="0.3">
      <c r="B932"/>
      <c r="H932"/>
    </row>
    <row r="933" spans="2:8" x14ac:dyDescent="0.3">
      <c r="B933"/>
      <c r="H933"/>
    </row>
    <row r="934" spans="2:8" x14ac:dyDescent="0.3">
      <c r="B934"/>
      <c r="H934"/>
    </row>
    <row r="935" spans="2:8" x14ac:dyDescent="0.3">
      <c r="B935"/>
      <c r="H935"/>
    </row>
    <row r="936" spans="2:8" x14ac:dyDescent="0.3">
      <c r="B936"/>
      <c r="H936"/>
    </row>
    <row r="937" spans="2:8" x14ac:dyDescent="0.3">
      <c r="B937"/>
      <c r="H937"/>
    </row>
    <row r="938" spans="2:8" x14ac:dyDescent="0.3">
      <c r="B938"/>
      <c r="H938"/>
    </row>
    <row r="939" spans="2:8" x14ac:dyDescent="0.3">
      <c r="B939"/>
      <c r="H939"/>
    </row>
    <row r="940" spans="2:8" x14ac:dyDescent="0.3">
      <c r="B940"/>
      <c r="H940"/>
    </row>
    <row r="941" spans="2:8" x14ac:dyDescent="0.3">
      <c r="B941"/>
      <c r="H941"/>
    </row>
    <row r="942" spans="2:8" x14ac:dyDescent="0.3">
      <c r="B942"/>
      <c r="H942"/>
    </row>
    <row r="943" spans="2:8" x14ac:dyDescent="0.3">
      <c r="B943"/>
      <c r="H943"/>
    </row>
    <row r="944" spans="2:8" x14ac:dyDescent="0.3">
      <c r="B944"/>
      <c r="H944"/>
    </row>
    <row r="945" spans="2:8" x14ac:dyDescent="0.3">
      <c r="B945"/>
      <c r="H945"/>
    </row>
    <row r="946" spans="2:8" x14ac:dyDescent="0.3">
      <c r="B946"/>
      <c r="H946"/>
    </row>
    <row r="947" spans="2:8" x14ac:dyDescent="0.3">
      <c r="B947"/>
      <c r="H947"/>
    </row>
    <row r="948" spans="2:8" x14ac:dyDescent="0.3">
      <c r="B948"/>
      <c r="H948"/>
    </row>
    <row r="949" spans="2:8" x14ac:dyDescent="0.3">
      <c r="B949"/>
      <c r="H949"/>
    </row>
    <row r="950" spans="2:8" x14ac:dyDescent="0.3">
      <c r="B950"/>
      <c r="H950"/>
    </row>
    <row r="951" spans="2:8" x14ac:dyDescent="0.3">
      <c r="B951"/>
      <c r="H951"/>
    </row>
    <row r="952" spans="2:8" x14ac:dyDescent="0.3">
      <c r="B952"/>
      <c r="H952"/>
    </row>
    <row r="953" spans="2:8" x14ac:dyDescent="0.3">
      <c r="B953"/>
      <c r="H953"/>
    </row>
    <row r="954" spans="2:8" x14ac:dyDescent="0.3">
      <c r="B954"/>
      <c r="H954"/>
    </row>
    <row r="955" spans="2:8" x14ac:dyDescent="0.3">
      <c r="B955"/>
      <c r="H955"/>
    </row>
    <row r="956" spans="2:8" x14ac:dyDescent="0.3">
      <c r="B956"/>
      <c r="H956"/>
    </row>
    <row r="957" spans="2:8" x14ac:dyDescent="0.3">
      <c r="B957"/>
      <c r="H957"/>
    </row>
    <row r="958" spans="2:8" x14ac:dyDescent="0.3">
      <c r="B958"/>
      <c r="H958"/>
    </row>
    <row r="959" spans="2:8" x14ac:dyDescent="0.3">
      <c r="B959"/>
      <c r="H959"/>
    </row>
    <row r="960" spans="2:8" x14ac:dyDescent="0.3">
      <c r="B960"/>
      <c r="H960"/>
    </row>
    <row r="961" spans="2:8" x14ac:dyDescent="0.3">
      <c r="B961"/>
      <c r="H961"/>
    </row>
    <row r="962" spans="2:8" x14ac:dyDescent="0.3">
      <c r="B962"/>
      <c r="H962"/>
    </row>
    <row r="963" spans="2:8" x14ac:dyDescent="0.3">
      <c r="B963"/>
      <c r="H963"/>
    </row>
    <row r="964" spans="2:8" x14ac:dyDescent="0.3">
      <c r="B964"/>
      <c r="H964"/>
    </row>
    <row r="965" spans="2:8" x14ac:dyDescent="0.3">
      <c r="B965"/>
      <c r="H965"/>
    </row>
    <row r="966" spans="2:8" x14ac:dyDescent="0.3">
      <c r="B966"/>
      <c r="H966"/>
    </row>
    <row r="967" spans="2:8" x14ac:dyDescent="0.3">
      <c r="B967"/>
      <c r="H967"/>
    </row>
    <row r="968" spans="2:8" x14ac:dyDescent="0.3">
      <c r="B968"/>
      <c r="H968"/>
    </row>
    <row r="969" spans="2:8" x14ac:dyDescent="0.3">
      <c r="B969"/>
      <c r="H969"/>
    </row>
    <row r="970" spans="2:8" x14ac:dyDescent="0.3">
      <c r="B970"/>
      <c r="H970"/>
    </row>
    <row r="971" spans="2:8" x14ac:dyDescent="0.3">
      <c r="B971"/>
      <c r="H971"/>
    </row>
    <row r="972" spans="2:8" x14ac:dyDescent="0.3">
      <c r="B972"/>
      <c r="H972"/>
    </row>
    <row r="973" spans="2:8" x14ac:dyDescent="0.3">
      <c r="B973"/>
      <c r="H973"/>
    </row>
    <row r="974" spans="2:8" x14ac:dyDescent="0.3">
      <c r="B974"/>
      <c r="H974"/>
    </row>
    <row r="975" spans="2:8" x14ac:dyDescent="0.3">
      <c r="B975"/>
      <c r="H975"/>
    </row>
    <row r="976" spans="2:8" x14ac:dyDescent="0.3">
      <c r="B976"/>
      <c r="H976"/>
    </row>
    <row r="977" spans="2:8" x14ac:dyDescent="0.3">
      <c r="B977"/>
      <c r="H977"/>
    </row>
    <row r="978" spans="2:8" x14ac:dyDescent="0.3">
      <c r="B978"/>
      <c r="H978"/>
    </row>
    <row r="979" spans="2:8" x14ac:dyDescent="0.3">
      <c r="B979"/>
      <c r="H979"/>
    </row>
    <row r="980" spans="2:8" x14ac:dyDescent="0.3">
      <c r="B980"/>
      <c r="H980"/>
    </row>
    <row r="981" spans="2:8" x14ac:dyDescent="0.3">
      <c r="B981"/>
      <c r="H981"/>
    </row>
    <row r="982" spans="2:8" x14ac:dyDescent="0.3">
      <c r="B982"/>
      <c r="H982"/>
    </row>
    <row r="983" spans="2:8" x14ac:dyDescent="0.3">
      <c r="B983"/>
      <c r="H983"/>
    </row>
    <row r="984" spans="2:8" x14ac:dyDescent="0.3">
      <c r="B984"/>
      <c r="H984"/>
    </row>
    <row r="985" spans="2:8" x14ac:dyDescent="0.3">
      <c r="B985"/>
      <c r="H985"/>
    </row>
    <row r="986" spans="2:8" x14ac:dyDescent="0.3">
      <c r="B986"/>
      <c r="H986"/>
    </row>
    <row r="987" spans="2:8" x14ac:dyDescent="0.3">
      <c r="B987"/>
      <c r="H987"/>
    </row>
    <row r="988" spans="2:8" x14ac:dyDescent="0.3">
      <c r="B988"/>
      <c r="H988"/>
    </row>
    <row r="989" spans="2:8" x14ac:dyDescent="0.3">
      <c r="B989"/>
      <c r="H989"/>
    </row>
    <row r="990" spans="2:8" x14ac:dyDescent="0.3">
      <c r="B990"/>
      <c r="H990"/>
    </row>
    <row r="991" spans="2:8" x14ac:dyDescent="0.3">
      <c r="B991"/>
      <c r="H991"/>
    </row>
    <row r="992" spans="2:8" x14ac:dyDescent="0.3">
      <c r="B992"/>
      <c r="H992"/>
    </row>
    <row r="993" spans="2:8" x14ac:dyDescent="0.3">
      <c r="B993"/>
      <c r="H993"/>
    </row>
    <row r="994" spans="2:8" x14ac:dyDescent="0.3">
      <c r="B994"/>
      <c r="H994"/>
    </row>
    <row r="995" spans="2:8" x14ac:dyDescent="0.3">
      <c r="B995"/>
      <c r="H995"/>
    </row>
    <row r="996" spans="2:8" x14ac:dyDescent="0.3">
      <c r="B996"/>
      <c r="H996"/>
    </row>
    <row r="997" spans="2:8" x14ac:dyDescent="0.3">
      <c r="B997"/>
      <c r="H997"/>
    </row>
    <row r="998" spans="2:8" x14ac:dyDescent="0.3">
      <c r="B998"/>
      <c r="H998"/>
    </row>
    <row r="999" spans="2:8" x14ac:dyDescent="0.3">
      <c r="B999"/>
      <c r="H999"/>
    </row>
    <row r="1000" spans="2:8" x14ac:dyDescent="0.3">
      <c r="B1000"/>
      <c r="H1000"/>
    </row>
    <row r="1001" spans="2:8" x14ac:dyDescent="0.3">
      <c r="B1001"/>
      <c r="H1001"/>
    </row>
    <row r="1002" spans="2:8" x14ac:dyDescent="0.3">
      <c r="B1002"/>
      <c r="H1002"/>
    </row>
    <row r="1003" spans="2:8" x14ac:dyDescent="0.3">
      <c r="B1003"/>
      <c r="H1003"/>
    </row>
    <row r="1004" spans="2:8" x14ac:dyDescent="0.3">
      <c r="B1004"/>
      <c r="H1004"/>
    </row>
    <row r="1005" spans="2:8" x14ac:dyDescent="0.3">
      <c r="B1005"/>
      <c r="H1005"/>
    </row>
    <row r="1006" spans="2:8" x14ac:dyDescent="0.3">
      <c r="B1006"/>
      <c r="H1006"/>
    </row>
    <row r="1007" spans="2:8" x14ac:dyDescent="0.3">
      <c r="B1007"/>
      <c r="H1007"/>
    </row>
    <row r="1008" spans="2:8" x14ac:dyDescent="0.3">
      <c r="B1008"/>
      <c r="H1008"/>
    </row>
    <row r="1009" spans="2:8" x14ac:dyDescent="0.3">
      <c r="B1009"/>
      <c r="H1009"/>
    </row>
    <row r="1010" spans="2:8" x14ac:dyDescent="0.3">
      <c r="B1010"/>
      <c r="H1010"/>
    </row>
    <row r="1011" spans="2:8" x14ac:dyDescent="0.3">
      <c r="B1011"/>
      <c r="H1011"/>
    </row>
    <row r="1012" spans="2:8" x14ac:dyDescent="0.3">
      <c r="B1012"/>
      <c r="H1012"/>
    </row>
    <row r="1013" spans="2:8" x14ac:dyDescent="0.3">
      <c r="B1013"/>
      <c r="H1013"/>
    </row>
    <row r="1014" spans="2:8" x14ac:dyDescent="0.3">
      <c r="B1014"/>
      <c r="H1014"/>
    </row>
    <row r="1015" spans="2:8" x14ac:dyDescent="0.3">
      <c r="B1015"/>
      <c r="H1015"/>
    </row>
    <row r="1016" spans="2:8" x14ac:dyDescent="0.3">
      <c r="B1016"/>
      <c r="H1016"/>
    </row>
    <row r="1017" spans="2:8" x14ac:dyDescent="0.3">
      <c r="B1017"/>
      <c r="H1017"/>
    </row>
    <row r="1018" spans="2:8" x14ac:dyDescent="0.3">
      <c r="B1018"/>
      <c r="H1018"/>
    </row>
    <row r="1019" spans="2:8" x14ac:dyDescent="0.3">
      <c r="B1019"/>
      <c r="H1019"/>
    </row>
    <row r="1020" spans="2:8" x14ac:dyDescent="0.3">
      <c r="B1020"/>
      <c r="H1020"/>
    </row>
    <row r="1021" spans="2:8" x14ac:dyDescent="0.3">
      <c r="B1021"/>
      <c r="H1021"/>
    </row>
    <row r="1022" spans="2:8" x14ac:dyDescent="0.3">
      <c r="B1022"/>
      <c r="H1022"/>
    </row>
    <row r="1023" spans="2:8" x14ac:dyDescent="0.3">
      <c r="B1023"/>
      <c r="H1023"/>
    </row>
    <row r="1024" spans="2:8" x14ac:dyDescent="0.3">
      <c r="B1024"/>
      <c r="H1024"/>
    </row>
    <row r="1025" spans="2:8" x14ac:dyDescent="0.3">
      <c r="B1025"/>
      <c r="H1025"/>
    </row>
    <row r="1026" spans="2:8" x14ac:dyDescent="0.3">
      <c r="B1026"/>
      <c r="H1026"/>
    </row>
    <row r="1027" spans="2:8" x14ac:dyDescent="0.3">
      <c r="B1027"/>
      <c r="H1027"/>
    </row>
    <row r="1028" spans="2:8" x14ac:dyDescent="0.3">
      <c r="B1028"/>
      <c r="H1028"/>
    </row>
    <row r="1029" spans="2:8" x14ac:dyDescent="0.3">
      <c r="B1029"/>
      <c r="H1029"/>
    </row>
    <row r="1030" spans="2:8" x14ac:dyDescent="0.3">
      <c r="B1030"/>
      <c r="H1030"/>
    </row>
    <row r="1031" spans="2:8" x14ac:dyDescent="0.3">
      <c r="B1031"/>
      <c r="H1031"/>
    </row>
    <row r="1032" spans="2:8" x14ac:dyDescent="0.3">
      <c r="B1032"/>
      <c r="H1032"/>
    </row>
    <row r="1033" spans="2:8" x14ac:dyDescent="0.3">
      <c r="B1033"/>
      <c r="H1033"/>
    </row>
    <row r="1034" spans="2:8" x14ac:dyDescent="0.3">
      <c r="B1034"/>
      <c r="H1034"/>
    </row>
    <row r="1035" spans="2:8" x14ac:dyDescent="0.3">
      <c r="B1035"/>
      <c r="H1035"/>
    </row>
    <row r="1036" spans="2:8" x14ac:dyDescent="0.3">
      <c r="B1036"/>
      <c r="H1036"/>
    </row>
    <row r="1037" spans="2:8" x14ac:dyDescent="0.3">
      <c r="B1037"/>
      <c r="H1037"/>
    </row>
    <row r="1038" spans="2:8" x14ac:dyDescent="0.3">
      <c r="B1038"/>
      <c r="H1038"/>
    </row>
    <row r="1039" spans="2:8" x14ac:dyDescent="0.3">
      <c r="B1039"/>
      <c r="H1039"/>
    </row>
    <row r="1040" spans="2:8" x14ac:dyDescent="0.3">
      <c r="B1040"/>
      <c r="H1040"/>
    </row>
    <row r="1041" spans="2:8" x14ac:dyDescent="0.3">
      <c r="B1041"/>
      <c r="H1041"/>
    </row>
    <row r="1042" spans="2:8" x14ac:dyDescent="0.3">
      <c r="B1042"/>
      <c r="H1042"/>
    </row>
    <row r="1043" spans="2:8" x14ac:dyDescent="0.3">
      <c r="B1043"/>
      <c r="H1043"/>
    </row>
    <row r="1044" spans="2:8" x14ac:dyDescent="0.3">
      <c r="B1044"/>
      <c r="H1044"/>
    </row>
    <row r="1045" spans="2:8" x14ac:dyDescent="0.3">
      <c r="B1045"/>
      <c r="H1045"/>
    </row>
    <row r="1046" spans="2:8" x14ac:dyDescent="0.3">
      <c r="B1046"/>
      <c r="H1046"/>
    </row>
    <row r="1047" spans="2:8" x14ac:dyDescent="0.3">
      <c r="B1047"/>
      <c r="H1047"/>
    </row>
    <row r="1048" spans="2:8" x14ac:dyDescent="0.3">
      <c r="B1048"/>
      <c r="H1048"/>
    </row>
    <row r="1049" spans="2:8" x14ac:dyDescent="0.3">
      <c r="B1049"/>
      <c r="H1049"/>
    </row>
    <row r="1050" spans="2:8" x14ac:dyDescent="0.3">
      <c r="B1050"/>
      <c r="H1050"/>
    </row>
    <row r="1051" spans="2:8" x14ac:dyDescent="0.3">
      <c r="B1051"/>
      <c r="H1051"/>
    </row>
    <row r="1052" spans="2:8" x14ac:dyDescent="0.3">
      <c r="B1052"/>
      <c r="H1052"/>
    </row>
    <row r="1053" spans="2:8" x14ac:dyDescent="0.3">
      <c r="B1053"/>
      <c r="H1053"/>
    </row>
    <row r="1054" spans="2:8" x14ac:dyDescent="0.3">
      <c r="B1054"/>
      <c r="H1054"/>
    </row>
    <row r="1055" spans="2:8" x14ac:dyDescent="0.3">
      <c r="B1055"/>
      <c r="H1055"/>
    </row>
    <row r="1056" spans="2:8" x14ac:dyDescent="0.3">
      <c r="B1056"/>
      <c r="H1056"/>
    </row>
    <row r="1057" spans="2:8" x14ac:dyDescent="0.3">
      <c r="B1057"/>
      <c r="H1057"/>
    </row>
    <row r="1058" spans="2:8" x14ac:dyDescent="0.3">
      <c r="B1058"/>
      <c r="H1058"/>
    </row>
    <row r="1059" spans="2:8" x14ac:dyDescent="0.3">
      <c r="B1059"/>
      <c r="H1059"/>
    </row>
    <row r="1060" spans="2:8" x14ac:dyDescent="0.3">
      <c r="B1060"/>
      <c r="H1060"/>
    </row>
    <row r="1061" spans="2:8" x14ac:dyDescent="0.3">
      <c r="B1061"/>
      <c r="H1061"/>
    </row>
    <row r="1062" spans="2:8" x14ac:dyDescent="0.3">
      <c r="B1062"/>
      <c r="H1062"/>
    </row>
    <row r="1063" spans="2:8" x14ac:dyDescent="0.3">
      <c r="B1063"/>
      <c r="H1063"/>
    </row>
    <row r="1064" spans="2:8" x14ac:dyDescent="0.3">
      <c r="B1064"/>
      <c r="H1064"/>
    </row>
    <row r="1065" spans="2:8" x14ac:dyDescent="0.3">
      <c r="B1065"/>
      <c r="H1065"/>
    </row>
    <row r="1066" spans="2:8" x14ac:dyDescent="0.3">
      <c r="B1066"/>
      <c r="H1066"/>
    </row>
    <row r="1067" spans="2:8" x14ac:dyDescent="0.3">
      <c r="B1067"/>
      <c r="H1067"/>
    </row>
    <row r="1068" spans="2:8" x14ac:dyDescent="0.3">
      <c r="B1068"/>
      <c r="H1068"/>
    </row>
    <row r="1069" spans="2:8" x14ac:dyDescent="0.3">
      <c r="B1069"/>
      <c r="H1069"/>
    </row>
    <row r="1070" spans="2:8" x14ac:dyDescent="0.3">
      <c r="B1070"/>
      <c r="H1070"/>
    </row>
    <row r="1071" spans="2:8" x14ac:dyDescent="0.3">
      <c r="B1071"/>
      <c r="H1071"/>
    </row>
    <row r="1072" spans="2:8" x14ac:dyDescent="0.3">
      <c r="B1072"/>
      <c r="H1072"/>
    </row>
    <row r="1073" spans="2:8" x14ac:dyDescent="0.3">
      <c r="B1073"/>
      <c r="H1073"/>
    </row>
    <row r="1074" spans="2:8" x14ac:dyDescent="0.3">
      <c r="B1074"/>
      <c r="H1074"/>
    </row>
    <row r="1075" spans="2:8" x14ac:dyDescent="0.3">
      <c r="B1075"/>
      <c r="H1075"/>
    </row>
    <row r="1076" spans="2:8" x14ac:dyDescent="0.3">
      <c r="B1076"/>
      <c r="H1076"/>
    </row>
    <row r="1077" spans="2:8" x14ac:dyDescent="0.3">
      <c r="B1077"/>
      <c r="H1077"/>
    </row>
    <row r="1078" spans="2:8" x14ac:dyDescent="0.3">
      <c r="B1078"/>
      <c r="H1078"/>
    </row>
    <row r="1079" spans="2:8" x14ac:dyDescent="0.3">
      <c r="B1079"/>
      <c r="H1079"/>
    </row>
    <row r="1080" spans="2:8" x14ac:dyDescent="0.3">
      <c r="B1080"/>
      <c r="H1080"/>
    </row>
    <row r="1081" spans="2:8" x14ac:dyDescent="0.3">
      <c r="B1081"/>
      <c r="H1081"/>
    </row>
    <row r="1082" spans="2:8" x14ac:dyDescent="0.3">
      <c r="B1082"/>
      <c r="H1082"/>
    </row>
    <row r="1083" spans="2:8" x14ac:dyDescent="0.3">
      <c r="B1083"/>
      <c r="H1083"/>
    </row>
    <row r="1084" spans="2:8" x14ac:dyDescent="0.3">
      <c r="B1084"/>
      <c r="H1084"/>
    </row>
    <row r="1085" spans="2:8" x14ac:dyDescent="0.3">
      <c r="B1085"/>
      <c r="H1085"/>
    </row>
    <row r="1086" spans="2:8" x14ac:dyDescent="0.3">
      <c r="B1086"/>
      <c r="H1086"/>
    </row>
    <row r="1087" spans="2:8" x14ac:dyDescent="0.3">
      <c r="B1087"/>
      <c r="H1087"/>
    </row>
    <row r="1088" spans="2:8" x14ac:dyDescent="0.3">
      <c r="B1088"/>
      <c r="H1088"/>
    </row>
    <row r="1089" spans="2:8" x14ac:dyDescent="0.3">
      <c r="B1089"/>
      <c r="H1089"/>
    </row>
    <row r="1090" spans="2:8" x14ac:dyDescent="0.3">
      <c r="B1090"/>
      <c r="H1090"/>
    </row>
    <row r="1091" spans="2:8" x14ac:dyDescent="0.3">
      <c r="B1091"/>
      <c r="H1091"/>
    </row>
    <row r="1092" spans="2:8" x14ac:dyDescent="0.3">
      <c r="B1092"/>
      <c r="H1092"/>
    </row>
    <row r="1093" spans="2:8" x14ac:dyDescent="0.3">
      <c r="B1093"/>
      <c r="H1093"/>
    </row>
    <row r="1094" spans="2:8" x14ac:dyDescent="0.3">
      <c r="B1094"/>
      <c r="H1094"/>
    </row>
    <row r="1095" spans="2:8" x14ac:dyDescent="0.3">
      <c r="B1095"/>
      <c r="H1095"/>
    </row>
    <row r="1096" spans="2:8" x14ac:dyDescent="0.3">
      <c r="B1096"/>
      <c r="H1096"/>
    </row>
    <row r="1097" spans="2:8" x14ac:dyDescent="0.3">
      <c r="B1097"/>
      <c r="H1097"/>
    </row>
    <row r="1098" spans="2:8" x14ac:dyDescent="0.3">
      <c r="B1098"/>
      <c r="H1098"/>
    </row>
    <row r="1099" spans="2:8" x14ac:dyDescent="0.3">
      <c r="B1099"/>
      <c r="H1099"/>
    </row>
    <row r="1100" spans="2:8" x14ac:dyDescent="0.3">
      <c r="B1100"/>
      <c r="H1100"/>
    </row>
    <row r="1101" spans="2:8" x14ac:dyDescent="0.3">
      <c r="B1101"/>
      <c r="H1101"/>
    </row>
    <row r="1102" spans="2:8" x14ac:dyDescent="0.3">
      <c r="B1102"/>
      <c r="H1102"/>
    </row>
    <row r="1103" spans="2:8" x14ac:dyDescent="0.3">
      <c r="B1103"/>
      <c r="H1103"/>
    </row>
    <row r="1104" spans="2:8" x14ac:dyDescent="0.3">
      <c r="B1104"/>
      <c r="H1104"/>
    </row>
    <row r="1105" spans="2:8" x14ac:dyDescent="0.3">
      <c r="B1105"/>
      <c r="H1105"/>
    </row>
    <row r="1106" spans="2:8" x14ac:dyDescent="0.3">
      <c r="B1106"/>
      <c r="H1106"/>
    </row>
    <row r="1107" spans="2:8" x14ac:dyDescent="0.3">
      <c r="B1107"/>
      <c r="H1107"/>
    </row>
    <row r="1108" spans="2:8" x14ac:dyDescent="0.3">
      <c r="B1108"/>
      <c r="H1108"/>
    </row>
    <row r="1109" spans="2:8" x14ac:dyDescent="0.3">
      <c r="B1109"/>
      <c r="H1109"/>
    </row>
    <row r="1110" spans="2:8" x14ac:dyDescent="0.3">
      <c r="B1110"/>
      <c r="H1110"/>
    </row>
    <row r="1111" spans="2:8" x14ac:dyDescent="0.3">
      <c r="B1111"/>
      <c r="H1111"/>
    </row>
    <row r="1112" spans="2:8" x14ac:dyDescent="0.3">
      <c r="B1112"/>
      <c r="H1112"/>
    </row>
    <row r="1113" spans="2:8" x14ac:dyDescent="0.3">
      <c r="B1113"/>
      <c r="H1113"/>
    </row>
    <row r="1114" spans="2:8" x14ac:dyDescent="0.3">
      <c r="B1114"/>
      <c r="H1114"/>
    </row>
    <row r="1115" spans="2:8" x14ac:dyDescent="0.3">
      <c r="B1115"/>
      <c r="H1115"/>
    </row>
    <row r="1116" spans="2:8" x14ac:dyDescent="0.3">
      <c r="B1116"/>
      <c r="H1116"/>
    </row>
    <row r="1117" spans="2:8" x14ac:dyDescent="0.3">
      <c r="B1117"/>
      <c r="H1117"/>
    </row>
    <row r="1118" spans="2:8" x14ac:dyDescent="0.3">
      <c r="B1118"/>
      <c r="H1118"/>
    </row>
    <row r="1119" spans="2:8" x14ac:dyDescent="0.3">
      <c r="B1119"/>
      <c r="H1119"/>
    </row>
    <row r="1120" spans="2:8" x14ac:dyDescent="0.3">
      <c r="B1120"/>
      <c r="H1120"/>
    </row>
    <row r="1121" spans="2:8" x14ac:dyDescent="0.3">
      <c r="B1121"/>
      <c r="H1121"/>
    </row>
    <row r="1122" spans="2:8" x14ac:dyDescent="0.3">
      <c r="B1122"/>
      <c r="H1122"/>
    </row>
    <row r="1123" spans="2:8" x14ac:dyDescent="0.3">
      <c r="B1123"/>
      <c r="H1123"/>
    </row>
    <row r="1124" spans="2:8" x14ac:dyDescent="0.3">
      <c r="B1124"/>
      <c r="H1124"/>
    </row>
    <row r="1125" spans="2:8" x14ac:dyDescent="0.3">
      <c r="B1125"/>
      <c r="H1125"/>
    </row>
    <row r="1126" spans="2:8" x14ac:dyDescent="0.3">
      <c r="B1126"/>
      <c r="H1126"/>
    </row>
    <row r="1127" spans="2:8" x14ac:dyDescent="0.3">
      <c r="B1127"/>
      <c r="H1127"/>
    </row>
    <row r="1128" spans="2:8" x14ac:dyDescent="0.3">
      <c r="B1128"/>
      <c r="H1128"/>
    </row>
    <row r="1129" spans="2:8" x14ac:dyDescent="0.3">
      <c r="B1129"/>
      <c r="H1129"/>
    </row>
    <row r="1130" spans="2:8" x14ac:dyDescent="0.3">
      <c r="B1130"/>
      <c r="H1130"/>
    </row>
    <row r="1131" spans="2:8" x14ac:dyDescent="0.3">
      <c r="B1131"/>
      <c r="H1131"/>
    </row>
    <row r="1132" spans="2:8" x14ac:dyDescent="0.3">
      <c r="B1132"/>
      <c r="H1132"/>
    </row>
    <row r="1133" spans="2:8" x14ac:dyDescent="0.3">
      <c r="B1133"/>
      <c r="H1133"/>
    </row>
    <row r="1134" spans="2:8" x14ac:dyDescent="0.3">
      <c r="B1134"/>
      <c r="H1134"/>
    </row>
    <row r="1135" spans="2:8" x14ac:dyDescent="0.3">
      <c r="B1135"/>
      <c r="H1135"/>
    </row>
    <row r="1136" spans="2:8" x14ac:dyDescent="0.3">
      <c r="B1136"/>
      <c r="H1136"/>
    </row>
    <row r="1137" spans="2:8" x14ac:dyDescent="0.3">
      <c r="B1137"/>
      <c r="H1137"/>
    </row>
    <row r="1138" spans="2:8" x14ac:dyDescent="0.3">
      <c r="B1138"/>
      <c r="H1138"/>
    </row>
    <row r="1139" spans="2:8" x14ac:dyDescent="0.3">
      <c r="B1139"/>
      <c r="H1139"/>
    </row>
    <row r="1140" spans="2:8" x14ac:dyDescent="0.3">
      <c r="B1140"/>
      <c r="H1140"/>
    </row>
    <row r="1141" spans="2:8" x14ac:dyDescent="0.3">
      <c r="B1141"/>
      <c r="H1141"/>
    </row>
    <row r="1142" spans="2:8" x14ac:dyDescent="0.3">
      <c r="B1142"/>
      <c r="H1142"/>
    </row>
    <row r="1143" spans="2:8" x14ac:dyDescent="0.3">
      <c r="B1143"/>
      <c r="H1143"/>
    </row>
    <row r="1144" spans="2:8" x14ac:dyDescent="0.3">
      <c r="B1144"/>
      <c r="H1144"/>
    </row>
    <row r="1145" spans="2:8" x14ac:dyDescent="0.3">
      <c r="B1145"/>
      <c r="H1145"/>
    </row>
    <row r="1146" spans="2:8" x14ac:dyDescent="0.3">
      <c r="B1146"/>
      <c r="H1146"/>
    </row>
    <row r="1147" spans="2:8" x14ac:dyDescent="0.3">
      <c r="B1147"/>
      <c r="H1147"/>
    </row>
    <row r="1148" spans="2:8" x14ac:dyDescent="0.3">
      <c r="B1148"/>
      <c r="H1148"/>
    </row>
    <row r="1149" spans="2:8" x14ac:dyDescent="0.3">
      <c r="B1149"/>
      <c r="H1149"/>
    </row>
    <row r="1150" spans="2:8" x14ac:dyDescent="0.3">
      <c r="B1150"/>
      <c r="H1150"/>
    </row>
    <row r="1151" spans="2:8" x14ac:dyDescent="0.3">
      <c r="B1151"/>
      <c r="H1151"/>
    </row>
    <row r="1152" spans="2:8" x14ac:dyDescent="0.3">
      <c r="B1152"/>
      <c r="H1152"/>
    </row>
    <row r="1153" spans="2:8" x14ac:dyDescent="0.3">
      <c r="B1153"/>
      <c r="H1153"/>
    </row>
    <row r="1154" spans="2:8" x14ac:dyDescent="0.3">
      <c r="B1154"/>
      <c r="H1154"/>
    </row>
    <row r="1155" spans="2:8" x14ac:dyDescent="0.3">
      <c r="B1155"/>
      <c r="H1155"/>
    </row>
    <row r="1156" spans="2:8" x14ac:dyDescent="0.3">
      <c r="B1156"/>
      <c r="H1156"/>
    </row>
    <row r="1157" spans="2:8" x14ac:dyDescent="0.3">
      <c r="B1157"/>
      <c r="H1157"/>
    </row>
    <row r="1158" spans="2:8" x14ac:dyDescent="0.3">
      <c r="B1158"/>
      <c r="H1158"/>
    </row>
    <row r="1159" spans="2:8" x14ac:dyDescent="0.3">
      <c r="B1159"/>
      <c r="H1159"/>
    </row>
    <row r="1160" spans="2:8" x14ac:dyDescent="0.3">
      <c r="B1160"/>
      <c r="H1160"/>
    </row>
    <row r="1161" spans="2:8" x14ac:dyDescent="0.3">
      <c r="B1161"/>
      <c r="H1161"/>
    </row>
    <row r="1162" spans="2:8" x14ac:dyDescent="0.3">
      <c r="B1162"/>
      <c r="H1162"/>
    </row>
    <row r="1163" spans="2:8" x14ac:dyDescent="0.3">
      <c r="B1163"/>
      <c r="H1163"/>
    </row>
    <row r="1164" spans="2:8" x14ac:dyDescent="0.3">
      <c r="B1164"/>
      <c r="H1164"/>
    </row>
    <row r="1165" spans="2:8" x14ac:dyDescent="0.3">
      <c r="B1165"/>
      <c r="H1165"/>
    </row>
    <row r="1166" spans="2:8" x14ac:dyDescent="0.3">
      <c r="B1166"/>
      <c r="H1166"/>
    </row>
    <row r="1167" spans="2:8" x14ac:dyDescent="0.3">
      <c r="B1167"/>
      <c r="H1167"/>
    </row>
    <row r="1168" spans="2:8" x14ac:dyDescent="0.3">
      <c r="B1168"/>
      <c r="H1168"/>
    </row>
    <row r="1169" spans="2:8" x14ac:dyDescent="0.3">
      <c r="B1169"/>
      <c r="H1169"/>
    </row>
    <row r="1170" spans="2:8" x14ac:dyDescent="0.3">
      <c r="B1170"/>
      <c r="H1170"/>
    </row>
    <row r="1171" spans="2:8" x14ac:dyDescent="0.3">
      <c r="B1171"/>
      <c r="H1171"/>
    </row>
    <row r="1172" spans="2:8" x14ac:dyDescent="0.3">
      <c r="B1172"/>
      <c r="H117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0A13377-F6D3-4A45-A942-B8D91A3EF749}">
          <x14:formula1>
            <xm:f>'Expense Headers'!$E$2:$E$10</xm:f>
          </x14:formula1>
          <xm:sqref>D1173:D1048576</xm:sqref>
        </x14:dataValidation>
        <x14:dataValidation type="list" allowBlank="1" showInputMessage="1" showErrorMessage="1" xr:uid="{0AC397C4-4C20-48B4-8ECC-14AC7E68B5B7}">
          <x14:formula1>
            <xm:f>'Expense Headers'!$A$2:$A$24</xm:f>
          </x14:formula1>
          <xm:sqref>E1437:E1048576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FFAC4-1C72-47FA-B3D2-00E222DCABD5}">
  <sheetPr codeName="Sheet5"/>
  <dimension ref="A2:F23"/>
  <sheetViews>
    <sheetView topLeftCell="A18" workbookViewId="0">
      <selection activeCell="A24" sqref="A24:XFD29"/>
    </sheetView>
  </sheetViews>
  <sheetFormatPr defaultRowHeight="14.4" x14ac:dyDescent="0.3"/>
  <sheetData>
    <row r="2" spans="1:6" x14ac:dyDescent="0.3">
      <c r="A2" t="s">
        <v>355</v>
      </c>
      <c r="B2" t="s">
        <v>323</v>
      </c>
      <c r="C2" t="s">
        <v>356</v>
      </c>
      <c r="D2" t="s">
        <v>357</v>
      </c>
      <c r="E2" t="s">
        <v>277</v>
      </c>
      <c r="F2" t="s">
        <v>358</v>
      </c>
    </row>
    <row r="3" spans="1:6" x14ac:dyDescent="0.3">
      <c r="A3" t="s">
        <v>359</v>
      </c>
      <c r="B3" t="s">
        <v>360</v>
      </c>
      <c r="C3" t="s">
        <v>361</v>
      </c>
      <c r="D3" t="s">
        <v>362</v>
      </c>
      <c r="E3" t="s">
        <v>277</v>
      </c>
      <c r="F3" t="s">
        <v>363</v>
      </c>
    </row>
    <row r="4" spans="1:6" x14ac:dyDescent="0.3">
      <c r="A4" t="s">
        <v>364</v>
      </c>
      <c r="B4" t="s">
        <v>365</v>
      </c>
      <c r="C4" t="s">
        <v>366</v>
      </c>
      <c r="D4" t="s">
        <v>367</v>
      </c>
      <c r="E4" t="s">
        <v>277</v>
      </c>
      <c r="F4" t="s">
        <v>368</v>
      </c>
    </row>
    <row r="5" spans="1:6" x14ac:dyDescent="0.3">
      <c r="A5" t="s">
        <v>364</v>
      </c>
      <c r="B5" t="s">
        <v>369</v>
      </c>
      <c r="C5" t="s">
        <v>370</v>
      </c>
      <c r="D5" t="s">
        <v>371</v>
      </c>
      <c r="E5" t="s">
        <v>277</v>
      </c>
      <c r="F5" t="s">
        <v>372</v>
      </c>
    </row>
    <row r="6" spans="1:6" x14ac:dyDescent="0.3">
      <c r="A6" t="s">
        <v>364</v>
      </c>
      <c r="B6" t="s">
        <v>323</v>
      </c>
      <c r="C6" t="s">
        <v>373</v>
      </c>
      <c r="D6" t="s">
        <v>374</v>
      </c>
      <c r="E6" t="s">
        <v>277</v>
      </c>
      <c r="F6" t="s">
        <v>375</v>
      </c>
    </row>
    <row r="7" spans="1:6" x14ac:dyDescent="0.3">
      <c r="A7" t="s">
        <v>273</v>
      </c>
      <c r="B7" t="s">
        <v>274</v>
      </c>
      <c r="C7" t="s">
        <v>275</v>
      </c>
      <c r="D7" t="s">
        <v>276</v>
      </c>
      <c r="E7" t="s">
        <v>277</v>
      </c>
      <c r="F7" t="s">
        <v>278</v>
      </c>
    </row>
    <row r="8" spans="1:6" x14ac:dyDescent="0.3">
      <c r="A8" t="s">
        <v>273</v>
      </c>
      <c r="B8" t="s">
        <v>279</v>
      </c>
      <c r="C8" t="s">
        <v>280</v>
      </c>
      <c r="D8" t="s">
        <v>281</v>
      </c>
      <c r="E8" t="s">
        <v>277</v>
      </c>
      <c r="F8" t="s">
        <v>282</v>
      </c>
    </row>
    <row r="9" spans="1:6" x14ac:dyDescent="0.3">
      <c r="A9" t="s">
        <v>283</v>
      </c>
      <c r="B9" t="s">
        <v>274</v>
      </c>
      <c r="C9" t="s">
        <v>284</v>
      </c>
      <c r="D9" t="s">
        <v>285</v>
      </c>
      <c r="E9" t="s">
        <v>277</v>
      </c>
      <c r="F9" t="s">
        <v>286</v>
      </c>
    </row>
    <row r="10" spans="1:6" x14ac:dyDescent="0.3">
      <c r="A10" t="s">
        <v>283</v>
      </c>
      <c r="B10" t="s">
        <v>274</v>
      </c>
      <c r="C10" t="s">
        <v>287</v>
      </c>
      <c r="D10" t="s">
        <v>288</v>
      </c>
      <c r="E10" t="s">
        <v>277</v>
      </c>
      <c r="F10" t="s">
        <v>289</v>
      </c>
    </row>
    <row r="11" spans="1:6" x14ac:dyDescent="0.3">
      <c r="A11" t="s">
        <v>290</v>
      </c>
      <c r="B11" t="s">
        <v>291</v>
      </c>
      <c r="C11" t="s">
        <v>292</v>
      </c>
      <c r="D11" t="s">
        <v>293</v>
      </c>
      <c r="E11" t="s">
        <v>277</v>
      </c>
      <c r="F11" t="s">
        <v>294</v>
      </c>
    </row>
    <row r="12" spans="1:6" x14ac:dyDescent="0.3">
      <c r="A12" t="s">
        <v>290</v>
      </c>
      <c r="B12" t="s">
        <v>295</v>
      </c>
      <c r="C12" t="s">
        <v>296</v>
      </c>
      <c r="D12" t="s">
        <v>297</v>
      </c>
      <c r="E12" t="s">
        <v>277</v>
      </c>
      <c r="F12" t="s">
        <v>298</v>
      </c>
    </row>
    <row r="13" spans="1:6" x14ac:dyDescent="0.3">
      <c r="A13" t="s">
        <v>299</v>
      </c>
      <c r="B13" t="s">
        <v>300</v>
      </c>
      <c r="C13" t="s">
        <v>301</v>
      </c>
      <c r="D13" t="s">
        <v>302</v>
      </c>
      <c r="E13" t="s">
        <v>277</v>
      </c>
      <c r="F13" t="s">
        <v>303</v>
      </c>
    </row>
    <row r="14" spans="1:6" x14ac:dyDescent="0.3">
      <c r="A14" t="s">
        <v>299</v>
      </c>
      <c r="B14" t="s">
        <v>279</v>
      </c>
      <c r="C14" t="s">
        <v>304</v>
      </c>
      <c r="D14" t="s">
        <v>305</v>
      </c>
      <c r="E14" t="s">
        <v>277</v>
      </c>
      <c r="F14" t="s">
        <v>306</v>
      </c>
    </row>
    <row r="15" spans="1:6" x14ac:dyDescent="0.3">
      <c r="A15" t="s">
        <v>299</v>
      </c>
      <c r="B15" t="s">
        <v>291</v>
      </c>
      <c r="C15" t="s">
        <v>307</v>
      </c>
      <c r="D15" t="s">
        <v>308</v>
      </c>
      <c r="E15" t="s">
        <v>277</v>
      </c>
      <c r="F15" t="s">
        <v>309</v>
      </c>
    </row>
    <row r="16" spans="1:6" x14ac:dyDescent="0.3">
      <c r="A16" t="s">
        <v>310</v>
      </c>
      <c r="B16" t="s">
        <v>311</v>
      </c>
      <c r="C16" t="s">
        <v>312</v>
      </c>
      <c r="D16" t="s">
        <v>313</v>
      </c>
      <c r="E16" t="s">
        <v>277</v>
      </c>
      <c r="F16" t="s">
        <v>314</v>
      </c>
    </row>
    <row r="17" spans="1:6" x14ac:dyDescent="0.3">
      <c r="A17" t="s">
        <v>310</v>
      </c>
      <c r="B17" t="s">
        <v>315</v>
      </c>
      <c r="C17" t="s">
        <v>316</v>
      </c>
      <c r="D17" t="s">
        <v>317</v>
      </c>
      <c r="E17" t="s">
        <v>277</v>
      </c>
      <c r="F17" t="s">
        <v>318</v>
      </c>
    </row>
    <row r="18" spans="1:6" x14ac:dyDescent="0.3">
      <c r="A18" t="s">
        <v>310</v>
      </c>
      <c r="B18" t="s">
        <v>315</v>
      </c>
      <c r="C18" t="s">
        <v>319</v>
      </c>
      <c r="D18" t="s">
        <v>320</v>
      </c>
      <c r="E18" t="s">
        <v>277</v>
      </c>
      <c r="F18" t="s">
        <v>321</v>
      </c>
    </row>
    <row r="19" spans="1:6" x14ac:dyDescent="0.3">
      <c r="A19" t="s">
        <v>322</v>
      </c>
      <c r="B19" t="s">
        <v>323</v>
      </c>
      <c r="C19" t="s">
        <v>324</v>
      </c>
      <c r="D19" t="s">
        <v>325</v>
      </c>
      <c r="E19" t="s">
        <v>277</v>
      </c>
      <c r="F19" t="s">
        <v>326</v>
      </c>
    </row>
    <row r="20" spans="1:6" x14ac:dyDescent="0.3">
      <c r="A20" t="s">
        <v>327</v>
      </c>
      <c r="B20" t="s">
        <v>328</v>
      </c>
      <c r="C20" t="s">
        <v>329</v>
      </c>
      <c r="D20" t="s">
        <v>330</v>
      </c>
      <c r="E20" t="s">
        <v>277</v>
      </c>
      <c r="F20" t="s">
        <v>331</v>
      </c>
    </row>
    <row r="21" spans="1:6" x14ac:dyDescent="0.3">
      <c r="A21" t="s">
        <v>332</v>
      </c>
      <c r="B21" t="s">
        <v>323</v>
      </c>
      <c r="C21" t="s">
        <v>333</v>
      </c>
      <c r="D21" t="s">
        <v>334</v>
      </c>
      <c r="E21" t="s">
        <v>277</v>
      </c>
      <c r="F21" t="s">
        <v>335</v>
      </c>
    </row>
    <row r="22" spans="1:6" x14ac:dyDescent="0.3">
      <c r="A22" t="s">
        <v>336</v>
      </c>
      <c r="B22" t="s">
        <v>337</v>
      </c>
      <c r="C22" t="s">
        <v>338</v>
      </c>
      <c r="D22" t="s">
        <v>339</v>
      </c>
      <c r="E22" t="s">
        <v>277</v>
      </c>
      <c r="F22" t="s">
        <v>340</v>
      </c>
    </row>
    <row r="23" spans="1:6" x14ac:dyDescent="0.3">
      <c r="A23" t="s">
        <v>341</v>
      </c>
      <c r="B23" t="s">
        <v>342</v>
      </c>
      <c r="C23" t="s">
        <v>343</v>
      </c>
      <c r="D23" t="s">
        <v>344</v>
      </c>
      <c r="E23" t="s">
        <v>277</v>
      </c>
      <c r="F23" t="s">
        <v>345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29299-02C8-46AE-B093-D590882BF0C5}">
  <sheetPr codeName="Sheet1"/>
  <dimension ref="A1"/>
  <sheetViews>
    <sheetView workbookViewId="0">
      <selection activeCell="N16" sqref="N16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_data_to_existing_CSV">
                <anchor moveWithCells="1" sizeWithCells="1">
                  <from>
                    <xdr:col>0</xdr:col>
                    <xdr:colOff>0</xdr:colOff>
                    <xdr:row>0</xdr:row>
                    <xdr:rowOff>7620</xdr:rowOff>
                  </from>
                  <to>
                    <xdr:col>5</xdr:col>
                    <xdr:colOff>38100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dule4.statement_reader">
                <anchor moveWithCells="1" sizeWithCells="1">
                  <from>
                    <xdr:col>0</xdr:col>
                    <xdr:colOff>22860</xdr:colOff>
                    <xdr:row>9</xdr:row>
                    <xdr:rowOff>7620</xdr:rowOff>
                  </from>
                  <to>
                    <xdr:col>5</xdr:col>
                    <xdr:colOff>60960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CICI_credit_stat_reader">
                <anchor moveWithCells="1" sizeWithCells="1">
                  <from>
                    <xdr:col>5</xdr:col>
                    <xdr:colOff>601980</xdr:colOff>
                    <xdr:row>0</xdr:row>
                    <xdr:rowOff>0</xdr:rowOff>
                  </from>
                  <to>
                    <xdr:col>10</xdr:col>
                    <xdr:colOff>373380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HSBC_credit_stat_reader">
                <anchor moveWithCells="1" sizeWithCells="1">
                  <from>
                    <xdr:col>5</xdr:col>
                    <xdr:colOff>579120</xdr:colOff>
                    <xdr:row>9</xdr:row>
                    <xdr:rowOff>15240</xdr:rowOff>
                  </from>
                  <to>
                    <xdr:col>10</xdr:col>
                    <xdr:colOff>350520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redit_sheet_creator">
                <anchor moveWithCells="1" sizeWithCells="1">
                  <from>
                    <xdr:col>11</xdr:col>
                    <xdr:colOff>99060</xdr:colOff>
                    <xdr:row>4</xdr:row>
                    <xdr:rowOff>106680</xdr:rowOff>
                  </from>
                  <to>
                    <xdr:col>15</xdr:col>
                    <xdr:colOff>480060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008FF-09A9-4FBE-BA0F-78DAA448508F}">
  <sheetPr codeName="Sheet8"/>
  <dimension ref="A1:F52"/>
  <sheetViews>
    <sheetView zoomScale="8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1" sqref="A31:F52"/>
    </sheetView>
  </sheetViews>
  <sheetFormatPr defaultRowHeight="14.4" x14ac:dyDescent="0.3"/>
  <cols>
    <col min="1" max="1" width="10.109375" customWidth="1"/>
    <col min="2" max="2" width="72" style="6" customWidth="1"/>
  </cols>
  <sheetData>
    <row r="1" spans="1:6" x14ac:dyDescent="0.3">
      <c r="B1"/>
    </row>
    <row r="2" spans="1:6" x14ac:dyDescent="0.3">
      <c r="A2" t="s">
        <v>346</v>
      </c>
      <c r="B2" t="s">
        <v>377</v>
      </c>
      <c r="C2">
        <v>-3015</v>
      </c>
      <c r="D2">
        <v>3015</v>
      </c>
      <c r="E2" t="s">
        <v>347</v>
      </c>
      <c r="F2" t="s">
        <v>378</v>
      </c>
    </row>
    <row r="3" spans="1:6" x14ac:dyDescent="0.3">
      <c r="A3" t="s">
        <v>346</v>
      </c>
      <c r="B3" t="s">
        <v>379</v>
      </c>
      <c r="C3">
        <v>-60</v>
      </c>
      <c r="D3">
        <v>60</v>
      </c>
      <c r="E3" t="s">
        <v>347</v>
      </c>
      <c r="F3" t="s">
        <v>380</v>
      </c>
    </row>
    <row r="4" spans="1:6" x14ac:dyDescent="0.3">
      <c r="A4" t="s">
        <v>348</v>
      </c>
      <c r="B4" t="s">
        <v>381</v>
      </c>
      <c r="C4">
        <v>-1045</v>
      </c>
      <c r="D4">
        <v>1045</v>
      </c>
      <c r="E4" t="s">
        <v>347</v>
      </c>
      <c r="F4" t="s">
        <v>382</v>
      </c>
    </row>
    <row r="5" spans="1:6" x14ac:dyDescent="0.3">
      <c r="A5" t="s">
        <v>349</v>
      </c>
      <c r="B5" t="s">
        <v>383</v>
      </c>
      <c r="C5">
        <v>1000</v>
      </c>
      <c r="D5">
        <v>-1000</v>
      </c>
      <c r="E5" t="s">
        <v>347</v>
      </c>
      <c r="F5" t="s">
        <v>384</v>
      </c>
    </row>
    <row r="6" spans="1:6" x14ac:dyDescent="0.3">
      <c r="A6">
        <v>45237</v>
      </c>
      <c r="B6" t="s">
        <v>385</v>
      </c>
      <c r="C6">
        <v>1383</v>
      </c>
      <c r="D6">
        <v>-1383</v>
      </c>
      <c r="E6" t="s">
        <v>347</v>
      </c>
      <c r="F6" t="s">
        <v>386</v>
      </c>
    </row>
    <row r="7" spans="1:6" x14ac:dyDescent="0.3">
      <c r="A7">
        <v>45206</v>
      </c>
      <c r="B7" t="s">
        <v>387</v>
      </c>
      <c r="C7">
        <v>-1221.95</v>
      </c>
      <c r="D7">
        <v>1221.95</v>
      </c>
      <c r="E7" t="s">
        <v>347</v>
      </c>
      <c r="F7" t="s">
        <v>388</v>
      </c>
    </row>
    <row r="8" spans="1:6" x14ac:dyDescent="0.3">
      <c r="A8">
        <v>45176</v>
      </c>
      <c r="B8" t="s">
        <v>389</v>
      </c>
      <c r="C8">
        <v>-566.64</v>
      </c>
      <c r="D8">
        <v>566.64</v>
      </c>
      <c r="E8" t="s">
        <v>347</v>
      </c>
      <c r="F8" t="s">
        <v>390</v>
      </c>
    </row>
    <row r="9" spans="1:6" x14ac:dyDescent="0.3">
      <c r="A9">
        <v>45053</v>
      </c>
      <c r="B9" t="s">
        <v>391</v>
      </c>
      <c r="C9">
        <v>406</v>
      </c>
      <c r="D9">
        <v>-406</v>
      </c>
      <c r="E9" t="s">
        <v>347</v>
      </c>
      <c r="F9" t="s">
        <v>392</v>
      </c>
    </row>
    <row r="10" spans="1:6" x14ac:dyDescent="0.3">
      <c r="A10">
        <v>45023</v>
      </c>
      <c r="B10" t="s">
        <v>393</v>
      </c>
      <c r="C10">
        <v>-1611</v>
      </c>
      <c r="D10">
        <v>1611</v>
      </c>
      <c r="E10" t="s">
        <v>347</v>
      </c>
      <c r="F10" t="s">
        <v>394</v>
      </c>
    </row>
    <row r="11" spans="1:6" x14ac:dyDescent="0.3">
      <c r="A11">
        <v>44992</v>
      </c>
      <c r="B11" t="s">
        <v>395</v>
      </c>
      <c r="C11">
        <v>26344</v>
      </c>
      <c r="D11">
        <v>-26344</v>
      </c>
      <c r="E11" t="s">
        <v>347</v>
      </c>
      <c r="F11" t="s">
        <v>396</v>
      </c>
    </row>
    <row r="12" spans="1:6" x14ac:dyDescent="0.3">
      <c r="A12">
        <v>44992</v>
      </c>
      <c r="B12" t="s">
        <v>397</v>
      </c>
      <c r="C12">
        <v>-350</v>
      </c>
      <c r="D12">
        <v>350</v>
      </c>
      <c r="E12" t="s">
        <v>347</v>
      </c>
      <c r="F12" t="s">
        <v>398</v>
      </c>
    </row>
    <row r="13" spans="1:6" x14ac:dyDescent="0.3">
      <c r="A13">
        <v>44992</v>
      </c>
      <c r="B13" t="s">
        <v>399</v>
      </c>
      <c r="C13">
        <v>-1147</v>
      </c>
      <c r="D13">
        <v>1147</v>
      </c>
      <c r="E13" t="s">
        <v>347</v>
      </c>
      <c r="F13" t="s">
        <v>400</v>
      </c>
    </row>
    <row r="14" spans="1:6" x14ac:dyDescent="0.3">
      <c r="A14">
        <v>44992</v>
      </c>
      <c r="B14" t="s">
        <v>401</v>
      </c>
      <c r="C14">
        <v>-990</v>
      </c>
      <c r="D14">
        <v>990</v>
      </c>
      <c r="E14" t="s">
        <v>347</v>
      </c>
      <c r="F14" t="s">
        <v>402</v>
      </c>
    </row>
    <row r="15" spans="1:6" x14ac:dyDescent="0.3">
      <c r="A15">
        <v>44992</v>
      </c>
      <c r="B15" t="s">
        <v>403</v>
      </c>
      <c r="C15">
        <v>-358</v>
      </c>
      <c r="D15">
        <v>358</v>
      </c>
      <c r="E15" t="s">
        <v>347</v>
      </c>
      <c r="F15" t="s">
        <v>404</v>
      </c>
    </row>
    <row r="16" spans="1:6" x14ac:dyDescent="0.3">
      <c r="A16">
        <v>44992</v>
      </c>
      <c r="B16" t="s">
        <v>405</v>
      </c>
      <c r="C16">
        <v>-215</v>
      </c>
      <c r="D16">
        <v>215</v>
      </c>
      <c r="E16" t="s">
        <v>347</v>
      </c>
      <c r="F16" t="s">
        <v>406</v>
      </c>
    </row>
    <row r="17" spans="1:6" x14ac:dyDescent="0.3">
      <c r="A17">
        <v>44933</v>
      </c>
      <c r="B17" t="s">
        <v>407</v>
      </c>
      <c r="C17">
        <v>-1010</v>
      </c>
      <c r="D17">
        <v>1010</v>
      </c>
      <c r="E17" t="s">
        <v>347</v>
      </c>
      <c r="F17" t="s">
        <v>408</v>
      </c>
    </row>
    <row r="18" spans="1:6" x14ac:dyDescent="0.3">
      <c r="A18">
        <v>44933</v>
      </c>
      <c r="B18" t="s">
        <v>409</v>
      </c>
      <c r="C18">
        <v>-406</v>
      </c>
      <c r="D18">
        <v>406</v>
      </c>
      <c r="E18" t="s">
        <v>347</v>
      </c>
      <c r="F18" t="s">
        <v>410</v>
      </c>
    </row>
    <row r="19" spans="1:6" x14ac:dyDescent="0.3">
      <c r="A19">
        <v>44933</v>
      </c>
      <c r="B19" t="s">
        <v>411</v>
      </c>
      <c r="C19">
        <v>-577</v>
      </c>
      <c r="D19">
        <v>577</v>
      </c>
      <c r="E19" t="s">
        <v>347</v>
      </c>
      <c r="F19" t="s">
        <v>412</v>
      </c>
    </row>
    <row r="20" spans="1:6" x14ac:dyDescent="0.3">
      <c r="A20">
        <v>44933</v>
      </c>
      <c r="B20" t="s">
        <v>411</v>
      </c>
      <c r="C20">
        <v>-828</v>
      </c>
      <c r="D20">
        <v>828</v>
      </c>
      <c r="E20" t="s">
        <v>347</v>
      </c>
      <c r="F20" t="s">
        <v>413</v>
      </c>
    </row>
    <row r="21" spans="1:6" x14ac:dyDescent="0.3">
      <c r="A21">
        <v>44933</v>
      </c>
      <c r="B21" t="s">
        <v>411</v>
      </c>
      <c r="C21">
        <v>-731</v>
      </c>
      <c r="D21">
        <v>731</v>
      </c>
      <c r="E21" t="s">
        <v>347</v>
      </c>
      <c r="F21" t="s">
        <v>414</v>
      </c>
    </row>
    <row r="22" spans="1:6" x14ac:dyDescent="0.3">
      <c r="A22">
        <v>44933</v>
      </c>
      <c r="B22" t="s">
        <v>415</v>
      </c>
      <c r="C22">
        <v>-6960</v>
      </c>
      <c r="D22">
        <v>6960</v>
      </c>
      <c r="E22" t="s">
        <v>347</v>
      </c>
      <c r="F22" t="s">
        <v>416</v>
      </c>
    </row>
    <row r="23" spans="1:6" x14ac:dyDescent="0.3">
      <c r="A23">
        <v>44933</v>
      </c>
      <c r="B23" t="s">
        <v>417</v>
      </c>
      <c r="C23">
        <v>-1092</v>
      </c>
      <c r="D23">
        <v>1092</v>
      </c>
      <c r="E23" t="s">
        <v>347</v>
      </c>
      <c r="F23" t="s">
        <v>418</v>
      </c>
    </row>
    <row r="24" spans="1:6" x14ac:dyDescent="0.3">
      <c r="A24" t="s">
        <v>350</v>
      </c>
      <c r="B24" t="s">
        <v>419</v>
      </c>
      <c r="C24">
        <v>-439</v>
      </c>
      <c r="D24">
        <v>439</v>
      </c>
      <c r="E24" t="s">
        <v>347</v>
      </c>
      <c r="F24" t="s">
        <v>420</v>
      </c>
    </row>
    <row r="25" spans="1:6" x14ac:dyDescent="0.3">
      <c r="A25" t="s">
        <v>350</v>
      </c>
      <c r="B25" t="s">
        <v>421</v>
      </c>
      <c r="C25">
        <v>-863.1</v>
      </c>
      <c r="D25">
        <v>863.1</v>
      </c>
      <c r="E25" t="s">
        <v>347</v>
      </c>
      <c r="F25" t="s">
        <v>422</v>
      </c>
    </row>
    <row r="26" spans="1:6" x14ac:dyDescent="0.3">
      <c r="A26" t="s">
        <v>350</v>
      </c>
      <c r="B26" t="s">
        <v>423</v>
      </c>
      <c r="C26">
        <v>-534</v>
      </c>
      <c r="D26">
        <v>534</v>
      </c>
      <c r="E26" t="s">
        <v>347</v>
      </c>
      <c r="F26" t="s">
        <v>424</v>
      </c>
    </row>
    <row r="27" spans="1:6" x14ac:dyDescent="0.3">
      <c r="A27" t="s">
        <v>350</v>
      </c>
      <c r="B27" t="s">
        <v>425</v>
      </c>
      <c r="C27">
        <v>-4317.3</v>
      </c>
      <c r="D27">
        <v>4317.3</v>
      </c>
      <c r="E27" t="s">
        <v>347</v>
      </c>
      <c r="F27" t="s">
        <v>426</v>
      </c>
    </row>
    <row r="28" spans="1:6" x14ac:dyDescent="0.3">
      <c r="A28" t="s">
        <v>350</v>
      </c>
      <c r="B28" t="s">
        <v>427</v>
      </c>
      <c r="C28">
        <v>-275</v>
      </c>
      <c r="D28">
        <v>275</v>
      </c>
      <c r="E28" t="s">
        <v>347</v>
      </c>
      <c r="F28" t="s">
        <v>428</v>
      </c>
    </row>
    <row r="29" spans="1:6" x14ac:dyDescent="0.3">
      <c r="A29" t="s">
        <v>350</v>
      </c>
      <c r="B29" t="s">
        <v>429</v>
      </c>
      <c r="C29">
        <v>-2023.6</v>
      </c>
      <c r="D29">
        <v>2023.6</v>
      </c>
      <c r="E29" t="s">
        <v>347</v>
      </c>
      <c r="F29" t="s">
        <v>430</v>
      </c>
    </row>
    <row r="30" spans="1:6" x14ac:dyDescent="0.3">
      <c r="A30" t="s">
        <v>351</v>
      </c>
      <c r="B30" t="s">
        <v>431</v>
      </c>
      <c r="C30">
        <v>-1617</v>
      </c>
      <c r="D30">
        <v>1617</v>
      </c>
      <c r="E30" t="s">
        <v>347</v>
      </c>
      <c r="F30" t="s">
        <v>432</v>
      </c>
    </row>
    <row r="31" spans="1:6" x14ac:dyDescent="0.3">
      <c r="B31"/>
    </row>
    <row r="32" spans="1:6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FE0F6-86E0-46D3-8912-972698018685}">
  <sheetPr codeName="Sheet2"/>
  <dimension ref="A1:F22"/>
  <sheetViews>
    <sheetView workbookViewId="0">
      <selection activeCell="G16" sqref="G16"/>
    </sheetView>
  </sheetViews>
  <sheetFormatPr defaultRowHeight="14.4" x14ac:dyDescent="0.3"/>
  <cols>
    <col min="1" max="1" width="21.5546875" customWidth="1"/>
    <col min="2" max="2" width="23.5546875" customWidth="1"/>
    <col min="3" max="3" width="13.44140625" style="3" customWidth="1"/>
    <col min="4" max="4" width="19" style="3" customWidth="1"/>
    <col min="5" max="5" width="24.109375" style="8" customWidth="1"/>
    <col min="6" max="6" width="30.77734375" customWidth="1"/>
    <col min="9" max="9" width="19.77734375" customWidth="1"/>
  </cols>
  <sheetData>
    <row r="1" spans="1:6" x14ac:dyDescent="0.3">
      <c r="A1" s="2" t="s">
        <v>204</v>
      </c>
      <c r="B1" s="2" t="s">
        <v>9</v>
      </c>
      <c r="C1" s="2" t="s">
        <v>10</v>
      </c>
      <c r="D1" s="2" t="s">
        <v>202</v>
      </c>
      <c r="E1" s="11" t="s">
        <v>17</v>
      </c>
      <c r="F1" s="2" t="s">
        <v>203</v>
      </c>
    </row>
    <row r="2" spans="1:6" x14ac:dyDescent="0.3">
      <c r="A2" s="2" t="s">
        <v>11</v>
      </c>
      <c r="B2" s="2" t="s">
        <v>13</v>
      </c>
      <c r="C2" s="12">
        <v>500000</v>
      </c>
      <c r="D2" s="12">
        <v>546105</v>
      </c>
      <c r="E2" s="11">
        <v>45496</v>
      </c>
      <c r="F2" s="9">
        <f ca="1">IFERROR(IF(-(TODAY()-E2)=-45117,"",(-(TODAY()-E2))),"")</f>
        <v>253</v>
      </c>
    </row>
    <row r="3" spans="1:6" x14ac:dyDescent="0.3">
      <c r="A3" s="2" t="s">
        <v>11</v>
      </c>
      <c r="B3" s="2" t="s">
        <v>13</v>
      </c>
      <c r="C3" s="12">
        <v>99400</v>
      </c>
      <c r="D3" s="12">
        <v>108589</v>
      </c>
      <c r="E3" s="11" t="s">
        <v>206</v>
      </c>
      <c r="F3" s="9" t="str">
        <f t="shared" ref="F3:F8" ca="1" si="0">IFERROR(IF(-(TODAY()-E3)=-45117,"",(-(TODAY()-E3))),"")</f>
        <v/>
      </c>
    </row>
    <row r="4" spans="1:6" x14ac:dyDescent="0.3">
      <c r="A4" s="2" t="s">
        <v>18</v>
      </c>
      <c r="B4" s="2" t="s">
        <v>14</v>
      </c>
      <c r="C4" s="12"/>
      <c r="D4" s="12"/>
      <c r="E4" s="11" t="s">
        <v>206</v>
      </c>
      <c r="F4" s="9" t="str">
        <f t="shared" ca="1" si="0"/>
        <v/>
      </c>
    </row>
    <row r="5" spans="1:6" x14ac:dyDescent="0.3">
      <c r="A5" s="2" t="s">
        <v>19</v>
      </c>
      <c r="B5" s="2" t="s">
        <v>13</v>
      </c>
      <c r="C5" s="12">
        <v>68000</v>
      </c>
      <c r="D5" s="12">
        <v>73432</v>
      </c>
      <c r="E5" s="11">
        <v>45444</v>
      </c>
      <c r="F5" s="9">
        <f ca="1">IFERROR(IF(-(TODAY()-E5)=-45117,"",(-(TODAY()-E5))),"")</f>
        <v>201</v>
      </c>
    </row>
    <row r="6" spans="1:6" x14ac:dyDescent="0.3">
      <c r="A6" s="2" t="s">
        <v>205</v>
      </c>
      <c r="B6" s="2" t="s">
        <v>15</v>
      </c>
      <c r="C6" s="12">
        <v>53717</v>
      </c>
      <c r="D6" s="12">
        <f>1.07*Table2[[#This Row],[Amount]]</f>
        <v>57477.19</v>
      </c>
      <c r="E6" s="11" t="s">
        <v>206</v>
      </c>
      <c r="F6" s="9" t="str">
        <f t="shared" ca="1" si="0"/>
        <v/>
      </c>
    </row>
    <row r="7" spans="1:6" x14ac:dyDescent="0.3">
      <c r="A7" s="2" t="s">
        <v>205</v>
      </c>
      <c r="B7" s="2" t="s">
        <v>16</v>
      </c>
      <c r="C7" s="12">
        <v>9883</v>
      </c>
      <c r="D7" s="12">
        <f>Table2[[#This Row],[Amount]]</f>
        <v>9883</v>
      </c>
      <c r="E7" s="11" t="s">
        <v>206</v>
      </c>
      <c r="F7" s="9" t="str">
        <f t="shared" ca="1" si="0"/>
        <v/>
      </c>
    </row>
    <row r="8" spans="1:6" x14ac:dyDescent="0.3">
      <c r="A8" s="2" t="s">
        <v>205</v>
      </c>
      <c r="B8" s="2" t="s">
        <v>16</v>
      </c>
      <c r="C8" s="12">
        <v>1260.9000000000001</v>
      </c>
      <c r="D8" s="12">
        <f>Table2[[#This Row],[Amount]]</f>
        <v>1260.9000000000001</v>
      </c>
      <c r="E8" s="11" t="s">
        <v>206</v>
      </c>
      <c r="F8" s="9" t="str">
        <f t="shared" ca="1" si="0"/>
        <v/>
      </c>
    </row>
    <row r="9" spans="1:6" x14ac:dyDescent="0.3">
      <c r="A9" s="2" t="s">
        <v>20</v>
      </c>
      <c r="B9" s="2" t="s">
        <v>20</v>
      </c>
      <c r="C9" s="12">
        <v>2200</v>
      </c>
      <c r="D9" s="12">
        <f>Table2[[#This Row],[Amount]]</f>
        <v>2200</v>
      </c>
      <c r="E9" s="11" t="s">
        <v>206</v>
      </c>
      <c r="F9" s="2"/>
    </row>
    <row r="10" spans="1:6" x14ac:dyDescent="0.3">
      <c r="A10" s="2" t="s">
        <v>11</v>
      </c>
      <c r="B10" s="2" t="s">
        <v>224</v>
      </c>
      <c r="C10" s="12">
        <v>66000</v>
      </c>
      <c r="D10" s="12">
        <f>Table2[[#This Row],[Amount]]</f>
        <v>66000</v>
      </c>
      <c r="E10" s="11"/>
      <c r="F10" s="2"/>
    </row>
    <row r="11" spans="1:6" x14ac:dyDescent="0.3">
      <c r="A11" s="2"/>
      <c r="B11" s="2"/>
      <c r="C11" s="12"/>
      <c r="D11" s="12"/>
      <c r="E11" s="11"/>
      <c r="F11" s="2"/>
    </row>
    <row r="12" spans="1:6" x14ac:dyDescent="0.3">
      <c r="A12" s="2"/>
      <c r="B12" s="2"/>
      <c r="C12" s="12"/>
      <c r="D12" s="12"/>
      <c r="E12" s="11"/>
      <c r="F12" s="2"/>
    </row>
    <row r="13" spans="1:6" x14ac:dyDescent="0.3">
      <c r="A13" s="2"/>
      <c r="B13" s="2"/>
      <c r="C13" s="12"/>
      <c r="D13" s="12"/>
      <c r="E13" s="11"/>
      <c r="F13" s="2"/>
    </row>
    <row r="14" spans="1:6" x14ac:dyDescent="0.3">
      <c r="A14" s="2"/>
      <c r="B14" s="2"/>
      <c r="C14" s="12"/>
      <c r="D14" s="12"/>
      <c r="E14" s="11"/>
      <c r="F14" s="2"/>
    </row>
    <row r="15" spans="1:6" x14ac:dyDescent="0.3">
      <c r="A15" s="2"/>
      <c r="B15" s="2"/>
      <c r="C15" s="12"/>
      <c r="D15" s="12"/>
      <c r="E15" s="11"/>
      <c r="F15" s="2"/>
    </row>
    <row r="16" spans="1:6" x14ac:dyDescent="0.3">
      <c r="A16" s="2"/>
      <c r="B16" s="2"/>
      <c r="C16" s="12"/>
      <c r="D16" s="12"/>
      <c r="E16" s="11"/>
      <c r="F16" s="2"/>
    </row>
    <row r="17" spans="1:6" x14ac:dyDescent="0.3">
      <c r="A17" s="2"/>
      <c r="B17" s="2"/>
      <c r="C17" s="12"/>
      <c r="D17" s="12"/>
      <c r="E17" s="11"/>
      <c r="F17" s="2"/>
    </row>
    <row r="18" spans="1:6" x14ac:dyDescent="0.3">
      <c r="A18" s="2"/>
      <c r="B18" s="2"/>
      <c r="C18" s="12"/>
      <c r="D18" s="12"/>
      <c r="E18" s="11"/>
      <c r="F18" s="2"/>
    </row>
    <row r="19" spans="1:6" x14ac:dyDescent="0.3">
      <c r="A19" s="2"/>
      <c r="B19" s="2"/>
      <c r="C19" s="12"/>
      <c r="D19" s="12"/>
      <c r="E19" s="11"/>
      <c r="F19" s="2"/>
    </row>
    <row r="20" spans="1:6" x14ac:dyDescent="0.3">
      <c r="A20" s="2"/>
      <c r="B20" s="2"/>
      <c r="C20" s="12"/>
      <c r="D20" s="12"/>
      <c r="E20" s="11"/>
      <c r="F20" s="2"/>
    </row>
    <row r="21" spans="1:6" x14ac:dyDescent="0.3">
      <c r="A21" s="2"/>
      <c r="B21" s="2"/>
      <c r="C21" s="12"/>
      <c r="D21" s="12"/>
      <c r="E21" s="11"/>
      <c r="F21" s="2"/>
    </row>
    <row r="22" spans="1:6" x14ac:dyDescent="0.3">
      <c r="A22" s="2"/>
      <c r="B22" s="2"/>
      <c r="C22" s="12"/>
      <c r="D22" s="12"/>
      <c r="E22" s="11"/>
      <c r="F22" s="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92C278F-D5AA-4C21-880F-8E08E80FCE06}">
          <x14:formula1>
            <xm:f>'Expense Headers'!$C$2:$C$14</xm:f>
          </x14:formula1>
          <xm:sqref>B2:B1048576</xm:sqref>
        </x14:dataValidation>
        <x14:dataValidation type="list" allowBlank="1" showInputMessage="1" showErrorMessage="1" xr:uid="{A176EA81-9AFE-4069-BA7C-9FEE934C6D71}">
          <x14:formula1>
            <xm:f>'Expense Headers'!$E$2:$E$11</xm:f>
          </x14:formula1>
          <xm:sqref>A2:A551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37EAA-C3A9-4CF3-8273-D5D875A57118}">
  <sheetPr codeName="Sheet4"/>
  <dimension ref="A1:K20"/>
  <sheetViews>
    <sheetView workbookViewId="0">
      <selection activeCell="D23" sqref="D23"/>
    </sheetView>
  </sheetViews>
  <sheetFormatPr defaultRowHeight="14.4" x14ac:dyDescent="0.3"/>
  <cols>
    <col min="1" max="1" width="36.44140625" customWidth="1"/>
    <col min="3" max="3" width="25.6640625" customWidth="1"/>
    <col min="5" max="5" width="18.6640625" customWidth="1"/>
    <col min="7" max="7" width="26.33203125" customWidth="1"/>
    <col min="9" max="9" width="15.21875" customWidth="1"/>
  </cols>
  <sheetData>
    <row r="1" spans="1:11" x14ac:dyDescent="0.3">
      <c r="A1" s="4" t="s">
        <v>12</v>
      </c>
      <c r="B1" s="4"/>
      <c r="C1" s="4" t="s">
        <v>9</v>
      </c>
      <c r="D1" s="4"/>
      <c r="E1" s="4" t="s">
        <v>21</v>
      </c>
      <c r="F1" s="4"/>
      <c r="G1" s="4" t="s">
        <v>186</v>
      </c>
      <c r="H1" s="4"/>
      <c r="I1" s="4" t="s">
        <v>22</v>
      </c>
    </row>
    <row r="2" spans="1:11" x14ac:dyDescent="0.3">
      <c r="A2" s="1" t="s">
        <v>185</v>
      </c>
      <c r="C2" t="s">
        <v>13</v>
      </c>
      <c r="E2" t="s">
        <v>11</v>
      </c>
      <c r="G2" t="s">
        <v>188</v>
      </c>
      <c r="I2" t="s">
        <v>18</v>
      </c>
    </row>
    <row r="3" spans="1:11" x14ac:dyDescent="0.3">
      <c r="A3" s="1" t="s">
        <v>7</v>
      </c>
      <c r="C3" t="s">
        <v>14</v>
      </c>
      <c r="E3" t="s">
        <v>214</v>
      </c>
      <c r="G3" t="s">
        <v>189</v>
      </c>
      <c r="I3" t="s">
        <v>23</v>
      </c>
    </row>
    <row r="4" spans="1:11" x14ac:dyDescent="0.3">
      <c r="A4" s="1" t="s">
        <v>8</v>
      </c>
      <c r="C4" t="s">
        <v>15</v>
      </c>
      <c r="E4" t="s">
        <v>19</v>
      </c>
      <c r="G4" t="s">
        <v>191</v>
      </c>
    </row>
    <row r="5" spans="1:11" x14ac:dyDescent="0.3">
      <c r="A5" s="1" t="s">
        <v>1</v>
      </c>
      <c r="C5" t="s">
        <v>16</v>
      </c>
      <c r="E5" t="s">
        <v>20</v>
      </c>
      <c r="G5" t="s">
        <v>194</v>
      </c>
      <c r="K5" t="s">
        <v>353</v>
      </c>
    </row>
    <row r="6" spans="1:11" x14ac:dyDescent="0.3">
      <c r="A6" s="1" t="s">
        <v>2</v>
      </c>
      <c r="C6" t="s">
        <v>192</v>
      </c>
      <c r="E6" t="s">
        <v>205</v>
      </c>
      <c r="G6" t="s">
        <v>190</v>
      </c>
      <c r="K6" t="s">
        <v>354</v>
      </c>
    </row>
    <row r="7" spans="1:11" x14ac:dyDescent="0.3">
      <c r="A7" s="1" t="s">
        <v>6</v>
      </c>
      <c r="C7" t="s">
        <v>193</v>
      </c>
      <c r="E7" t="s">
        <v>215</v>
      </c>
      <c r="G7" t="s">
        <v>198</v>
      </c>
    </row>
    <row r="8" spans="1:11" x14ac:dyDescent="0.3">
      <c r="A8" s="1" t="s">
        <v>5</v>
      </c>
      <c r="C8" t="s">
        <v>20</v>
      </c>
      <c r="E8" t="s">
        <v>216</v>
      </c>
    </row>
    <row r="9" spans="1:11" x14ac:dyDescent="0.3">
      <c r="A9" s="1" t="s">
        <v>196</v>
      </c>
      <c r="C9" t="s">
        <v>224</v>
      </c>
    </row>
    <row r="10" spans="1:11" x14ac:dyDescent="0.3">
      <c r="A10" s="1" t="s">
        <v>221</v>
      </c>
    </row>
    <row r="11" spans="1:11" x14ac:dyDescent="0.3">
      <c r="A11" s="1" t="s">
        <v>0</v>
      </c>
    </row>
    <row r="12" spans="1:11" x14ac:dyDescent="0.3">
      <c r="A12" s="1" t="s">
        <v>195</v>
      </c>
    </row>
    <row r="13" spans="1:11" x14ac:dyDescent="0.3">
      <c r="A13" s="1" t="s">
        <v>4</v>
      </c>
    </row>
    <row r="14" spans="1:11" x14ac:dyDescent="0.3">
      <c r="A14" s="1" t="s">
        <v>197</v>
      </c>
    </row>
    <row r="15" spans="1:11" x14ac:dyDescent="0.3">
      <c r="A15" s="1" t="s">
        <v>184</v>
      </c>
    </row>
    <row r="16" spans="1:11" x14ac:dyDescent="0.3">
      <c r="A16" s="1" t="s">
        <v>187</v>
      </c>
    </row>
    <row r="17" spans="1:1" x14ac:dyDescent="0.3">
      <c r="A17" s="1" t="s">
        <v>3</v>
      </c>
    </row>
    <row r="18" spans="1:1" x14ac:dyDescent="0.3">
      <c r="A18" s="1" t="s">
        <v>212</v>
      </c>
    </row>
    <row r="19" spans="1:1" x14ac:dyDescent="0.3">
      <c r="A19" s="1" t="s">
        <v>213</v>
      </c>
    </row>
    <row r="20" spans="1:1" x14ac:dyDescent="0.3">
      <c r="A20" s="1" t="s">
        <v>222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9135D-5AD9-4444-B7A4-652314EF460B}">
  <sheetPr codeName="Sheet3"/>
  <dimension ref="A1:S480"/>
  <sheetViews>
    <sheetView zoomScale="79" workbookViewId="0">
      <selection activeCell="G16" sqref="G16"/>
    </sheetView>
  </sheetViews>
  <sheetFormatPr defaultRowHeight="14.4" x14ac:dyDescent="0.3"/>
  <cols>
    <col min="2" max="2" width="17.33203125" customWidth="1"/>
    <col min="3" max="3" width="14.5546875" customWidth="1"/>
    <col min="4" max="4" width="21.88671875" customWidth="1"/>
    <col min="5" max="5" width="29.6640625" customWidth="1"/>
    <col min="6" max="6" width="29.6640625" style="8" customWidth="1"/>
    <col min="7" max="7" width="40.77734375" customWidth="1"/>
    <col min="8" max="8" width="31.5546875" customWidth="1"/>
    <col min="9" max="9" width="32.33203125" customWidth="1"/>
    <col min="11" max="11" width="8.88671875" customWidth="1"/>
    <col min="15" max="15" width="8.88671875" customWidth="1"/>
  </cols>
  <sheetData>
    <row r="1" spans="1:19" x14ac:dyDescent="0.3">
      <c r="A1" s="13" t="s">
        <v>18</v>
      </c>
      <c r="B1" s="16">
        <f ca="1">DATE(YEAR(TODAY()),MONTH(TODAY()),3)</f>
        <v>45233</v>
      </c>
      <c r="F1" s="17" t="s">
        <v>220</v>
      </c>
      <c r="G1" s="5"/>
    </row>
    <row r="2" spans="1:19" x14ac:dyDescent="0.3">
      <c r="A2" s="13" t="s">
        <v>23</v>
      </c>
      <c r="B2" s="16">
        <f ca="1">DATE(YEAR(TODAY()),MONTH(TODAY()),3)</f>
        <v>45233</v>
      </c>
      <c r="F2" s="10">
        <f ca="1">TODAY()</f>
        <v>45243</v>
      </c>
    </row>
    <row r="3" spans="1:19" x14ac:dyDescent="0.3">
      <c r="C3" s="7"/>
      <c r="D3" s="7"/>
      <c r="K3" t="b">
        <f ca="1">DAY(_xlfn.NUMBERVALUE(TODAY()))&gt;=DAY(B1)</f>
        <v>1</v>
      </c>
    </row>
    <row r="4" spans="1:19" x14ac:dyDescent="0.3">
      <c r="A4" s="13" t="s">
        <v>211</v>
      </c>
      <c r="B4" s="13" t="s">
        <v>24</v>
      </c>
      <c r="C4" s="13" t="s">
        <v>209</v>
      </c>
      <c r="D4" s="13" t="s">
        <v>218</v>
      </c>
      <c r="E4" s="13" t="s">
        <v>207</v>
      </c>
      <c r="F4" s="14" t="s">
        <v>210</v>
      </c>
      <c r="G4" s="13" t="s">
        <v>208</v>
      </c>
      <c r="H4" s="13" t="s">
        <v>25</v>
      </c>
      <c r="I4" s="13" t="s">
        <v>219</v>
      </c>
      <c r="P4" t="s">
        <v>201</v>
      </c>
      <c r="R4">
        <v>1</v>
      </c>
      <c r="S4">
        <v>31</v>
      </c>
    </row>
    <row r="5" spans="1:19" x14ac:dyDescent="0.3">
      <c r="A5">
        <v>1</v>
      </c>
      <c r="B5" t="s">
        <v>18</v>
      </c>
      <c r="C5">
        <v>355</v>
      </c>
      <c r="E5">
        <v>355</v>
      </c>
      <c r="F5" s="8">
        <v>45117</v>
      </c>
      <c r="G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H5" t="s">
        <v>199</v>
      </c>
      <c r="I5">
        <f ca="1">IF(Table3[[#This Row],[Vendor Name]]&lt;&gt;"",IF(DAY(_xlfn.NUMBERVALUE(TODAY()))&gt;=DAY($B$1),VLOOKUP(MONTH(TODAY()),$R$3:$S$15, 2, FALSE)-1-(DAY(TODAY())-DAY($B$1)), DAY($B$1)-DAY(_xlfn.NUMBERVALUE(TODAY()))-1),"")</f>
        <v>19</v>
      </c>
      <c r="P5" t="s">
        <v>199</v>
      </c>
      <c r="R5">
        <v>2</v>
      </c>
      <c r="S5">
        <v>28</v>
      </c>
    </row>
    <row r="6" spans="1:19" x14ac:dyDescent="0.3">
      <c r="A6">
        <v>2</v>
      </c>
      <c r="B6" t="s">
        <v>23</v>
      </c>
      <c r="C6">
        <v>1383</v>
      </c>
      <c r="E6">
        <v>1383</v>
      </c>
      <c r="F6" s="8">
        <v>45117</v>
      </c>
      <c r="G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H6" t="s">
        <v>199</v>
      </c>
      <c r="I6">
        <f ca="1">IF(Table3[[#This Row],[Vendor Name]]&lt;&gt;"",IF(DAY(_xlfn.NUMBERVALUE(TODAY()))&gt;=DAY($B$1),VLOOKUP(MONTH(TODAY()),$R$3:$S$15, 2, FALSE)-1-(DAY(TODAY())-DAY($B$1)), DAY($B$1)-DAY(_xlfn.NUMBERVALUE(TODAY()))-1),"")</f>
        <v>19</v>
      </c>
      <c r="P6" t="s">
        <v>200</v>
      </c>
      <c r="R6">
        <v>3</v>
      </c>
      <c r="S6">
        <v>31</v>
      </c>
    </row>
    <row r="7" spans="1:19" x14ac:dyDescent="0.3">
      <c r="A7">
        <v>3</v>
      </c>
      <c r="B7" t="s">
        <v>18</v>
      </c>
      <c r="C7">
        <v>5653</v>
      </c>
      <c r="G7">
        <f>IF(Table3[[#This Row],[Bill Amount For Period Paid or Not]]="Yes", 0, IF(Table3[[#This Row],[Bill Amount For Period Paid or Not]]="Partial", Table3[[#This Row],[Bill Due]]-Table3[[#This Row],[Total Amount Paid]], Table3[[#This Row],[Bill Due]]))</f>
        <v>5653</v>
      </c>
      <c r="H7" t="s">
        <v>200</v>
      </c>
      <c r="I7">
        <f ca="1">IF(Table3[[#This Row],[Vendor Name]]&lt;&gt;"",IF(DAY(_xlfn.NUMBERVALUE(TODAY()))&gt;=DAY($B$1),VLOOKUP(MONTH(TODAY()),$R$3:$S$15, 2, FALSE)-1-(DAY(TODAY())-DAY($B$1)), DAY($B$1)-DAY(_xlfn.NUMBERVALUE(TODAY()))-1),"")</f>
        <v>19</v>
      </c>
      <c r="P7" t="s">
        <v>217</v>
      </c>
      <c r="R7">
        <v>4</v>
      </c>
      <c r="S7">
        <v>30</v>
      </c>
    </row>
    <row r="8" spans="1:19" x14ac:dyDescent="0.3">
      <c r="A8">
        <v>4</v>
      </c>
      <c r="G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  <c r="R8">
        <v>5</v>
      </c>
      <c r="S8">
        <v>31</v>
      </c>
    </row>
    <row r="9" spans="1:19" x14ac:dyDescent="0.3">
      <c r="A9">
        <v>5</v>
      </c>
      <c r="G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  <c r="R9">
        <v>6</v>
      </c>
      <c r="S9">
        <v>30</v>
      </c>
    </row>
    <row r="10" spans="1:19" x14ac:dyDescent="0.3">
      <c r="A10">
        <v>6</v>
      </c>
      <c r="G1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  <c r="R10">
        <v>7</v>
      </c>
      <c r="S10">
        <v>31</v>
      </c>
    </row>
    <row r="11" spans="1:19" x14ac:dyDescent="0.3">
      <c r="A11">
        <v>7</v>
      </c>
      <c r="G1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  <c r="R11">
        <v>8</v>
      </c>
      <c r="S11">
        <v>31</v>
      </c>
    </row>
    <row r="12" spans="1:19" x14ac:dyDescent="0.3">
      <c r="A12">
        <v>8</v>
      </c>
      <c r="G1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  <c r="R12">
        <v>9</v>
      </c>
      <c r="S12">
        <v>30</v>
      </c>
    </row>
    <row r="13" spans="1:19" x14ac:dyDescent="0.3">
      <c r="A13">
        <v>9</v>
      </c>
      <c r="G1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  <c r="R13">
        <v>10</v>
      </c>
      <c r="S13">
        <v>31</v>
      </c>
    </row>
    <row r="14" spans="1:19" x14ac:dyDescent="0.3">
      <c r="A14">
        <v>10</v>
      </c>
      <c r="G1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  <c r="R14">
        <v>11</v>
      </c>
      <c r="S14">
        <v>30</v>
      </c>
    </row>
    <row r="15" spans="1:19" x14ac:dyDescent="0.3">
      <c r="A15">
        <v>11</v>
      </c>
      <c r="G1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  <c r="R15">
        <v>12</v>
      </c>
      <c r="S15">
        <v>31</v>
      </c>
    </row>
    <row r="16" spans="1:19" x14ac:dyDescent="0.3">
      <c r="A16">
        <v>12</v>
      </c>
      <c r="G1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7" spans="1:9" x14ac:dyDescent="0.3">
      <c r="A17">
        <v>13</v>
      </c>
      <c r="G1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8" spans="1:9" x14ac:dyDescent="0.3">
      <c r="A18">
        <v>14</v>
      </c>
      <c r="G1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9" spans="1:9" x14ac:dyDescent="0.3">
      <c r="A19">
        <v>15</v>
      </c>
      <c r="G1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0" spans="1:9" x14ac:dyDescent="0.3">
      <c r="A20">
        <v>16</v>
      </c>
      <c r="G2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1" spans="1:9" x14ac:dyDescent="0.3">
      <c r="A21">
        <v>17</v>
      </c>
      <c r="G2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2" spans="1:9" x14ac:dyDescent="0.3">
      <c r="A22">
        <v>18</v>
      </c>
      <c r="G2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3" spans="1:9" x14ac:dyDescent="0.3">
      <c r="A23">
        <v>19</v>
      </c>
      <c r="G2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4" spans="1:9" x14ac:dyDescent="0.3">
      <c r="A24">
        <v>20</v>
      </c>
      <c r="G2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5" spans="1:9" x14ac:dyDescent="0.3">
      <c r="A25">
        <v>21</v>
      </c>
      <c r="G2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6" spans="1:9" x14ac:dyDescent="0.3">
      <c r="A26">
        <v>22</v>
      </c>
      <c r="G2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7" spans="1:9" x14ac:dyDescent="0.3">
      <c r="A27">
        <v>23</v>
      </c>
      <c r="G2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8" spans="1:9" x14ac:dyDescent="0.3">
      <c r="A28">
        <v>24</v>
      </c>
      <c r="G2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9" spans="1:9" x14ac:dyDescent="0.3">
      <c r="A29">
        <v>25</v>
      </c>
      <c r="G2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0" spans="1:9" x14ac:dyDescent="0.3">
      <c r="A30">
        <v>26</v>
      </c>
      <c r="G3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3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1" spans="1:9" x14ac:dyDescent="0.3">
      <c r="A31">
        <v>27</v>
      </c>
      <c r="G3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3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2" spans="1:9" x14ac:dyDescent="0.3">
      <c r="A32">
        <v>28</v>
      </c>
      <c r="G3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3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3" spans="1:9" x14ac:dyDescent="0.3">
      <c r="A33">
        <v>29</v>
      </c>
      <c r="G3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3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4" spans="1:9" x14ac:dyDescent="0.3">
      <c r="A34">
        <v>30</v>
      </c>
      <c r="G3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3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5" spans="1:9" x14ac:dyDescent="0.3">
      <c r="A35">
        <v>31</v>
      </c>
      <c r="G3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3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6" spans="1:9" x14ac:dyDescent="0.3">
      <c r="A36">
        <v>32</v>
      </c>
      <c r="G3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3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7" spans="1:9" x14ac:dyDescent="0.3">
      <c r="A37">
        <v>33</v>
      </c>
      <c r="G3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3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8" spans="1:9" x14ac:dyDescent="0.3">
      <c r="A38">
        <v>34</v>
      </c>
      <c r="G3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3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9" spans="1:9" x14ac:dyDescent="0.3">
      <c r="A39">
        <v>35</v>
      </c>
      <c r="G3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3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0" spans="1:9" x14ac:dyDescent="0.3">
      <c r="A40">
        <v>36</v>
      </c>
      <c r="G4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4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1" spans="1:9" x14ac:dyDescent="0.3">
      <c r="A41">
        <v>37</v>
      </c>
      <c r="G4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4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2" spans="1:9" x14ac:dyDescent="0.3">
      <c r="A42">
        <v>38</v>
      </c>
      <c r="G4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4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3" spans="1:9" x14ac:dyDescent="0.3">
      <c r="A43">
        <v>39</v>
      </c>
      <c r="G4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4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4" spans="1:9" x14ac:dyDescent="0.3">
      <c r="A44">
        <v>40</v>
      </c>
      <c r="G4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4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5" spans="1:9" x14ac:dyDescent="0.3">
      <c r="A45">
        <v>41</v>
      </c>
      <c r="G4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4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6" spans="1:9" x14ac:dyDescent="0.3">
      <c r="A46">
        <v>42</v>
      </c>
      <c r="G4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4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7" spans="1:9" x14ac:dyDescent="0.3">
      <c r="A47">
        <v>43</v>
      </c>
      <c r="G4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4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8" spans="1:9" x14ac:dyDescent="0.3">
      <c r="A48">
        <v>44</v>
      </c>
      <c r="G4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4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9" spans="1:9" x14ac:dyDescent="0.3">
      <c r="A49">
        <v>45</v>
      </c>
      <c r="G4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4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50" spans="1:9" x14ac:dyDescent="0.3">
      <c r="A50">
        <v>46</v>
      </c>
      <c r="G5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5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51" spans="1:9" x14ac:dyDescent="0.3">
      <c r="A51">
        <v>47</v>
      </c>
      <c r="G5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5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52" spans="1:9" x14ac:dyDescent="0.3">
      <c r="A52">
        <v>48</v>
      </c>
      <c r="G5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5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53" spans="1:9" x14ac:dyDescent="0.3">
      <c r="A53">
        <v>49</v>
      </c>
      <c r="G5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5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54" spans="1:9" x14ac:dyDescent="0.3">
      <c r="A54">
        <v>50</v>
      </c>
      <c r="G5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5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55" spans="1:9" x14ac:dyDescent="0.3">
      <c r="A55">
        <v>51</v>
      </c>
      <c r="G5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5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56" spans="1:9" x14ac:dyDescent="0.3">
      <c r="A56">
        <v>52</v>
      </c>
      <c r="G5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5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57" spans="1:9" x14ac:dyDescent="0.3">
      <c r="A57">
        <v>53</v>
      </c>
      <c r="G5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5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58" spans="1:9" x14ac:dyDescent="0.3">
      <c r="A58">
        <v>54</v>
      </c>
      <c r="G5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5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59" spans="1:9" x14ac:dyDescent="0.3">
      <c r="A59">
        <v>55</v>
      </c>
      <c r="G5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5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60" spans="1:9" x14ac:dyDescent="0.3">
      <c r="A60">
        <v>56</v>
      </c>
      <c r="G6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6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61" spans="1:9" x14ac:dyDescent="0.3">
      <c r="A61">
        <v>57</v>
      </c>
      <c r="G6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6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62" spans="1:9" x14ac:dyDescent="0.3">
      <c r="A62">
        <v>58</v>
      </c>
      <c r="G6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6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63" spans="1:9" x14ac:dyDescent="0.3">
      <c r="A63">
        <v>59</v>
      </c>
      <c r="G6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6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64" spans="1:9" x14ac:dyDescent="0.3">
      <c r="A64">
        <v>60</v>
      </c>
      <c r="G6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6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65" spans="1:9" x14ac:dyDescent="0.3">
      <c r="A65">
        <v>61</v>
      </c>
      <c r="G6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6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66" spans="1:9" x14ac:dyDescent="0.3">
      <c r="A66">
        <v>62</v>
      </c>
      <c r="G6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6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67" spans="1:9" x14ac:dyDescent="0.3">
      <c r="A67">
        <v>63</v>
      </c>
      <c r="G6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6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68" spans="1:9" x14ac:dyDescent="0.3">
      <c r="A68">
        <v>64</v>
      </c>
      <c r="G6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6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69" spans="1:9" x14ac:dyDescent="0.3">
      <c r="A69">
        <v>65</v>
      </c>
      <c r="G6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6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70" spans="1:9" x14ac:dyDescent="0.3">
      <c r="A70">
        <v>66</v>
      </c>
      <c r="G7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7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71" spans="1:9" x14ac:dyDescent="0.3">
      <c r="A71">
        <v>67</v>
      </c>
      <c r="G7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7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72" spans="1:9" x14ac:dyDescent="0.3">
      <c r="A72">
        <v>68</v>
      </c>
      <c r="G7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7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73" spans="1:9" x14ac:dyDescent="0.3">
      <c r="A73">
        <v>69</v>
      </c>
      <c r="G7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7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74" spans="1:9" x14ac:dyDescent="0.3">
      <c r="A74">
        <v>70</v>
      </c>
      <c r="G7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7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75" spans="1:9" x14ac:dyDescent="0.3">
      <c r="A75">
        <v>71</v>
      </c>
      <c r="G7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7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76" spans="1:9" x14ac:dyDescent="0.3">
      <c r="A76">
        <v>72</v>
      </c>
      <c r="G7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7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77" spans="1:9" x14ac:dyDescent="0.3">
      <c r="A77">
        <v>73</v>
      </c>
      <c r="G7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7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78" spans="1:9" x14ac:dyDescent="0.3">
      <c r="A78">
        <v>74</v>
      </c>
      <c r="G7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7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79" spans="1:9" x14ac:dyDescent="0.3">
      <c r="A79">
        <v>75</v>
      </c>
      <c r="G7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7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80" spans="1:9" x14ac:dyDescent="0.3">
      <c r="A80">
        <v>76</v>
      </c>
      <c r="G8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8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81" spans="1:9" x14ac:dyDescent="0.3">
      <c r="A81">
        <v>77</v>
      </c>
      <c r="G8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8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82" spans="1:9" x14ac:dyDescent="0.3">
      <c r="A82">
        <v>78</v>
      </c>
      <c r="G8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8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83" spans="1:9" x14ac:dyDescent="0.3">
      <c r="A83">
        <v>79</v>
      </c>
      <c r="G8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8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84" spans="1:9" x14ac:dyDescent="0.3">
      <c r="A84">
        <v>80</v>
      </c>
      <c r="G8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8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85" spans="1:9" x14ac:dyDescent="0.3">
      <c r="A85">
        <v>81</v>
      </c>
      <c r="G8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8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86" spans="1:9" x14ac:dyDescent="0.3">
      <c r="A86">
        <v>82</v>
      </c>
      <c r="G8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8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87" spans="1:9" x14ac:dyDescent="0.3">
      <c r="A87">
        <v>83</v>
      </c>
      <c r="G8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8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88" spans="1:9" x14ac:dyDescent="0.3">
      <c r="A88">
        <v>84</v>
      </c>
      <c r="G8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8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89" spans="1:9" x14ac:dyDescent="0.3">
      <c r="A89">
        <v>85</v>
      </c>
      <c r="G8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8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90" spans="1:9" x14ac:dyDescent="0.3">
      <c r="A90">
        <v>86</v>
      </c>
      <c r="G9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9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91" spans="1:9" x14ac:dyDescent="0.3">
      <c r="A91">
        <v>87</v>
      </c>
      <c r="G9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9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92" spans="1:9" x14ac:dyDescent="0.3">
      <c r="A92">
        <v>88</v>
      </c>
      <c r="G9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9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93" spans="1:9" x14ac:dyDescent="0.3">
      <c r="A93">
        <v>89</v>
      </c>
      <c r="G9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9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94" spans="1:9" x14ac:dyDescent="0.3">
      <c r="A94">
        <v>90</v>
      </c>
      <c r="G9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9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95" spans="1:9" x14ac:dyDescent="0.3">
      <c r="A95">
        <v>91</v>
      </c>
      <c r="G9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9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96" spans="1:9" x14ac:dyDescent="0.3">
      <c r="A96">
        <v>92</v>
      </c>
      <c r="G9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9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97" spans="1:9" x14ac:dyDescent="0.3">
      <c r="A97">
        <v>93</v>
      </c>
      <c r="G9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9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98" spans="1:9" x14ac:dyDescent="0.3">
      <c r="A98">
        <v>94</v>
      </c>
      <c r="G9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9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99" spans="1:9" x14ac:dyDescent="0.3">
      <c r="A99">
        <v>95</v>
      </c>
      <c r="G9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9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00" spans="1:9" x14ac:dyDescent="0.3">
      <c r="A100">
        <v>96</v>
      </c>
      <c r="G10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0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01" spans="1:9" x14ac:dyDescent="0.3">
      <c r="A101">
        <v>97</v>
      </c>
      <c r="G10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0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02" spans="1:9" x14ac:dyDescent="0.3">
      <c r="A102">
        <v>98</v>
      </c>
      <c r="G10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0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03" spans="1:9" x14ac:dyDescent="0.3">
      <c r="A103">
        <v>99</v>
      </c>
      <c r="G10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0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04" spans="1:9" x14ac:dyDescent="0.3">
      <c r="A104">
        <v>100</v>
      </c>
      <c r="G10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0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05" spans="1:9" x14ac:dyDescent="0.3">
      <c r="A105">
        <v>101</v>
      </c>
      <c r="G10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0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06" spans="1:9" x14ac:dyDescent="0.3">
      <c r="A106">
        <v>102</v>
      </c>
      <c r="G10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0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07" spans="1:9" x14ac:dyDescent="0.3">
      <c r="A107">
        <v>103</v>
      </c>
      <c r="G10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0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08" spans="1:9" x14ac:dyDescent="0.3">
      <c r="A108">
        <v>104</v>
      </c>
      <c r="G10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0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09" spans="1:9" x14ac:dyDescent="0.3">
      <c r="A109">
        <v>105</v>
      </c>
      <c r="G10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0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10" spans="1:9" x14ac:dyDescent="0.3">
      <c r="A110">
        <v>106</v>
      </c>
      <c r="G11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1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11" spans="1:9" x14ac:dyDescent="0.3">
      <c r="A111">
        <v>107</v>
      </c>
      <c r="G11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1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12" spans="1:9" x14ac:dyDescent="0.3">
      <c r="A112">
        <v>108</v>
      </c>
      <c r="G11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1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13" spans="1:9" x14ac:dyDescent="0.3">
      <c r="A113">
        <v>109</v>
      </c>
      <c r="G11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1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14" spans="1:9" x14ac:dyDescent="0.3">
      <c r="A114">
        <v>110</v>
      </c>
      <c r="G11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1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15" spans="1:9" x14ac:dyDescent="0.3">
      <c r="A115">
        <v>111</v>
      </c>
      <c r="G11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1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16" spans="1:9" x14ac:dyDescent="0.3">
      <c r="A116">
        <v>112</v>
      </c>
      <c r="G11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1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17" spans="1:9" x14ac:dyDescent="0.3">
      <c r="A117">
        <v>113</v>
      </c>
      <c r="G11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1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18" spans="1:9" x14ac:dyDescent="0.3">
      <c r="A118">
        <v>114</v>
      </c>
      <c r="G11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1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19" spans="1:9" x14ac:dyDescent="0.3">
      <c r="A119">
        <v>115</v>
      </c>
      <c r="G11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1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20" spans="1:9" x14ac:dyDescent="0.3">
      <c r="A120">
        <v>116</v>
      </c>
      <c r="G12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2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21" spans="1:9" x14ac:dyDescent="0.3">
      <c r="A121">
        <v>117</v>
      </c>
      <c r="G12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2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22" spans="1:9" x14ac:dyDescent="0.3">
      <c r="A122">
        <v>118</v>
      </c>
      <c r="G12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2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23" spans="1:9" x14ac:dyDescent="0.3">
      <c r="A123">
        <v>119</v>
      </c>
      <c r="G12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2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24" spans="1:9" x14ac:dyDescent="0.3">
      <c r="A124">
        <v>120</v>
      </c>
      <c r="G12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2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25" spans="1:9" x14ac:dyDescent="0.3">
      <c r="A125">
        <v>121</v>
      </c>
      <c r="G12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2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26" spans="1:9" x14ac:dyDescent="0.3">
      <c r="A126">
        <v>122</v>
      </c>
      <c r="G12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2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27" spans="1:9" x14ac:dyDescent="0.3">
      <c r="A127">
        <v>123</v>
      </c>
      <c r="G12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2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28" spans="1:9" x14ac:dyDescent="0.3">
      <c r="A128">
        <v>124</v>
      </c>
      <c r="G12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2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29" spans="1:9" x14ac:dyDescent="0.3">
      <c r="A129">
        <v>125</v>
      </c>
      <c r="G12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2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30" spans="1:9" x14ac:dyDescent="0.3">
      <c r="A130">
        <v>126</v>
      </c>
      <c r="G13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3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31" spans="1:9" x14ac:dyDescent="0.3">
      <c r="A131">
        <v>127</v>
      </c>
      <c r="G13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3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32" spans="1:9" x14ac:dyDescent="0.3">
      <c r="A132">
        <v>128</v>
      </c>
      <c r="G13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3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33" spans="1:9" x14ac:dyDescent="0.3">
      <c r="A133">
        <v>129</v>
      </c>
      <c r="G13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3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34" spans="1:9" x14ac:dyDescent="0.3">
      <c r="A134">
        <v>130</v>
      </c>
      <c r="G13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3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35" spans="1:9" x14ac:dyDescent="0.3">
      <c r="A135">
        <v>131</v>
      </c>
      <c r="G13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3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36" spans="1:9" x14ac:dyDescent="0.3">
      <c r="A136">
        <v>132</v>
      </c>
      <c r="G13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3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37" spans="1:9" x14ac:dyDescent="0.3">
      <c r="A137">
        <v>133</v>
      </c>
      <c r="G13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3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38" spans="1:9" x14ac:dyDescent="0.3">
      <c r="A138">
        <v>134</v>
      </c>
      <c r="G13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3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39" spans="1:9" x14ac:dyDescent="0.3">
      <c r="A139">
        <v>135</v>
      </c>
      <c r="G13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3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40" spans="1:9" x14ac:dyDescent="0.3">
      <c r="A140">
        <v>136</v>
      </c>
      <c r="G14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4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41" spans="1:9" x14ac:dyDescent="0.3">
      <c r="A141">
        <v>137</v>
      </c>
      <c r="G14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4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42" spans="1:9" x14ac:dyDescent="0.3">
      <c r="A142">
        <v>138</v>
      </c>
      <c r="G14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4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43" spans="1:9" x14ac:dyDescent="0.3">
      <c r="A143">
        <v>139</v>
      </c>
      <c r="G14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4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44" spans="1:9" x14ac:dyDescent="0.3">
      <c r="A144">
        <v>140</v>
      </c>
      <c r="G14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4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45" spans="1:9" x14ac:dyDescent="0.3">
      <c r="A145">
        <v>141</v>
      </c>
      <c r="G14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4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46" spans="1:9" x14ac:dyDescent="0.3">
      <c r="A146">
        <v>142</v>
      </c>
      <c r="G14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4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47" spans="1:9" x14ac:dyDescent="0.3">
      <c r="A147">
        <v>143</v>
      </c>
      <c r="G14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4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48" spans="1:9" x14ac:dyDescent="0.3">
      <c r="A148">
        <v>144</v>
      </c>
      <c r="G14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4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49" spans="1:9" x14ac:dyDescent="0.3">
      <c r="A149">
        <v>145</v>
      </c>
      <c r="G14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4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50" spans="1:9" x14ac:dyDescent="0.3">
      <c r="A150">
        <v>146</v>
      </c>
      <c r="G15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5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51" spans="1:9" x14ac:dyDescent="0.3">
      <c r="A151">
        <v>147</v>
      </c>
      <c r="G15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5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52" spans="1:9" x14ac:dyDescent="0.3">
      <c r="A152">
        <v>148</v>
      </c>
      <c r="G15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5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53" spans="1:9" x14ac:dyDescent="0.3">
      <c r="A153">
        <v>149</v>
      </c>
      <c r="G15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5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54" spans="1:9" x14ac:dyDescent="0.3">
      <c r="A154">
        <v>150</v>
      </c>
      <c r="G15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5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55" spans="1:9" x14ac:dyDescent="0.3">
      <c r="A155">
        <v>151</v>
      </c>
      <c r="G15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5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56" spans="1:9" x14ac:dyDescent="0.3">
      <c r="A156">
        <v>152</v>
      </c>
      <c r="G15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5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57" spans="1:9" x14ac:dyDescent="0.3">
      <c r="A157">
        <v>153</v>
      </c>
      <c r="G15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5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58" spans="1:9" x14ac:dyDescent="0.3">
      <c r="A158">
        <v>154</v>
      </c>
      <c r="G15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5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59" spans="1:9" x14ac:dyDescent="0.3">
      <c r="A159">
        <v>155</v>
      </c>
      <c r="G15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5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60" spans="1:9" x14ac:dyDescent="0.3">
      <c r="A160">
        <v>156</v>
      </c>
      <c r="G16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6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61" spans="1:9" x14ac:dyDescent="0.3">
      <c r="A161">
        <v>157</v>
      </c>
      <c r="G16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6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62" spans="1:9" x14ac:dyDescent="0.3">
      <c r="A162">
        <v>158</v>
      </c>
      <c r="G16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6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63" spans="1:9" x14ac:dyDescent="0.3">
      <c r="A163">
        <v>159</v>
      </c>
      <c r="G16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6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64" spans="1:9" x14ac:dyDescent="0.3">
      <c r="A164">
        <v>160</v>
      </c>
      <c r="G16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6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65" spans="1:9" x14ac:dyDescent="0.3">
      <c r="A165">
        <v>161</v>
      </c>
      <c r="G16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6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66" spans="1:9" x14ac:dyDescent="0.3">
      <c r="A166">
        <v>162</v>
      </c>
      <c r="G16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6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67" spans="1:9" x14ac:dyDescent="0.3">
      <c r="A167">
        <v>163</v>
      </c>
      <c r="G16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6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68" spans="1:9" x14ac:dyDescent="0.3">
      <c r="A168">
        <v>164</v>
      </c>
      <c r="G16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6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69" spans="1:9" x14ac:dyDescent="0.3">
      <c r="A169">
        <v>165</v>
      </c>
      <c r="G16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6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70" spans="1:9" x14ac:dyDescent="0.3">
      <c r="A170">
        <v>166</v>
      </c>
      <c r="G17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7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71" spans="1:9" x14ac:dyDescent="0.3">
      <c r="A171">
        <v>167</v>
      </c>
      <c r="G17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7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72" spans="1:9" x14ac:dyDescent="0.3">
      <c r="A172">
        <v>168</v>
      </c>
      <c r="G17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7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73" spans="1:9" x14ac:dyDescent="0.3">
      <c r="A173">
        <v>169</v>
      </c>
      <c r="G17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7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74" spans="1:9" x14ac:dyDescent="0.3">
      <c r="A174">
        <v>170</v>
      </c>
      <c r="G17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7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75" spans="1:9" x14ac:dyDescent="0.3">
      <c r="A175">
        <v>171</v>
      </c>
      <c r="G17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7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76" spans="1:9" x14ac:dyDescent="0.3">
      <c r="A176">
        <v>172</v>
      </c>
      <c r="G17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7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77" spans="1:9" x14ac:dyDescent="0.3">
      <c r="A177">
        <v>173</v>
      </c>
      <c r="G17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7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78" spans="1:9" x14ac:dyDescent="0.3">
      <c r="A178">
        <v>174</v>
      </c>
      <c r="G17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7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79" spans="1:9" x14ac:dyDescent="0.3">
      <c r="A179">
        <v>175</v>
      </c>
      <c r="G17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7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80" spans="1:9" x14ac:dyDescent="0.3">
      <c r="A180">
        <v>176</v>
      </c>
      <c r="G18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8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81" spans="1:9" x14ac:dyDescent="0.3">
      <c r="A181">
        <v>177</v>
      </c>
      <c r="G18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8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82" spans="1:9" x14ac:dyDescent="0.3">
      <c r="A182">
        <v>178</v>
      </c>
      <c r="G18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8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83" spans="1:9" x14ac:dyDescent="0.3">
      <c r="A183">
        <v>179</v>
      </c>
      <c r="G18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8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84" spans="1:9" x14ac:dyDescent="0.3">
      <c r="A184">
        <v>180</v>
      </c>
      <c r="G18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8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85" spans="1:9" x14ac:dyDescent="0.3">
      <c r="A185">
        <v>181</v>
      </c>
      <c r="G18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8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86" spans="1:9" x14ac:dyDescent="0.3">
      <c r="A186">
        <v>182</v>
      </c>
      <c r="G18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8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87" spans="1:9" x14ac:dyDescent="0.3">
      <c r="A187">
        <v>183</v>
      </c>
      <c r="G18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8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88" spans="1:9" x14ac:dyDescent="0.3">
      <c r="A188">
        <v>184</v>
      </c>
      <c r="G18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8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89" spans="1:9" x14ac:dyDescent="0.3">
      <c r="A189">
        <v>185</v>
      </c>
      <c r="G18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8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90" spans="1:9" x14ac:dyDescent="0.3">
      <c r="A190">
        <v>186</v>
      </c>
      <c r="G19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9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91" spans="1:9" x14ac:dyDescent="0.3">
      <c r="A191">
        <v>187</v>
      </c>
      <c r="G19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9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92" spans="1:9" x14ac:dyDescent="0.3">
      <c r="A192">
        <v>188</v>
      </c>
      <c r="G19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9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93" spans="1:9" x14ac:dyDescent="0.3">
      <c r="A193">
        <v>189</v>
      </c>
      <c r="G19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9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94" spans="1:9" x14ac:dyDescent="0.3">
      <c r="A194">
        <v>190</v>
      </c>
      <c r="G19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9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95" spans="1:9" x14ac:dyDescent="0.3">
      <c r="A195">
        <v>191</v>
      </c>
      <c r="G19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9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96" spans="1:9" x14ac:dyDescent="0.3">
      <c r="A196">
        <v>192</v>
      </c>
      <c r="G19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9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97" spans="1:9" x14ac:dyDescent="0.3">
      <c r="A197">
        <v>193</v>
      </c>
      <c r="G19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9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98" spans="1:9" x14ac:dyDescent="0.3">
      <c r="A198">
        <v>194</v>
      </c>
      <c r="G19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9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199" spans="1:9" x14ac:dyDescent="0.3">
      <c r="A199">
        <v>195</v>
      </c>
      <c r="G19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19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00" spans="1:9" x14ac:dyDescent="0.3">
      <c r="A200">
        <v>196</v>
      </c>
      <c r="G20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0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01" spans="1:9" x14ac:dyDescent="0.3">
      <c r="A201">
        <v>197</v>
      </c>
      <c r="G20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0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02" spans="1:9" x14ac:dyDescent="0.3">
      <c r="A202">
        <v>198</v>
      </c>
      <c r="G20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0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03" spans="1:9" x14ac:dyDescent="0.3">
      <c r="A203">
        <v>199</v>
      </c>
      <c r="G20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0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04" spans="1:9" x14ac:dyDescent="0.3">
      <c r="A204">
        <v>200</v>
      </c>
      <c r="G20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0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05" spans="1:9" x14ac:dyDescent="0.3">
      <c r="A205">
        <v>201</v>
      </c>
      <c r="G20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0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06" spans="1:9" x14ac:dyDescent="0.3">
      <c r="A206">
        <v>202</v>
      </c>
      <c r="G20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0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07" spans="1:9" x14ac:dyDescent="0.3">
      <c r="A207">
        <v>203</v>
      </c>
      <c r="G20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0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08" spans="1:9" x14ac:dyDescent="0.3">
      <c r="A208">
        <v>204</v>
      </c>
      <c r="G20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0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09" spans="1:9" x14ac:dyDescent="0.3">
      <c r="A209">
        <v>205</v>
      </c>
      <c r="G20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0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10" spans="1:9" x14ac:dyDescent="0.3">
      <c r="A210">
        <v>206</v>
      </c>
      <c r="G21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1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11" spans="1:9" x14ac:dyDescent="0.3">
      <c r="A211">
        <v>207</v>
      </c>
      <c r="G21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1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12" spans="1:9" x14ac:dyDescent="0.3">
      <c r="A212">
        <v>208</v>
      </c>
      <c r="G21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1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13" spans="1:9" x14ac:dyDescent="0.3">
      <c r="A213">
        <v>209</v>
      </c>
      <c r="G21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1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14" spans="1:9" x14ac:dyDescent="0.3">
      <c r="A214">
        <v>210</v>
      </c>
      <c r="G21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1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15" spans="1:9" x14ac:dyDescent="0.3">
      <c r="A215">
        <v>211</v>
      </c>
      <c r="G21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1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16" spans="1:9" x14ac:dyDescent="0.3">
      <c r="A216">
        <v>212</v>
      </c>
      <c r="G21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1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17" spans="1:9" x14ac:dyDescent="0.3">
      <c r="A217">
        <v>213</v>
      </c>
      <c r="G21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1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18" spans="1:9" x14ac:dyDescent="0.3">
      <c r="A218">
        <v>214</v>
      </c>
      <c r="G21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1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19" spans="1:9" x14ac:dyDescent="0.3">
      <c r="A219">
        <v>215</v>
      </c>
      <c r="G21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1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20" spans="1:9" x14ac:dyDescent="0.3">
      <c r="A220">
        <v>216</v>
      </c>
      <c r="G220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2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21" spans="1:9" x14ac:dyDescent="0.3">
      <c r="A221">
        <v>217</v>
      </c>
      <c r="G221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2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22" spans="1:9" x14ac:dyDescent="0.3">
      <c r="A222">
        <v>218</v>
      </c>
      <c r="G222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2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23" spans="1:9" x14ac:dyDescent="0.3">
      <c r="A223">
        <v>219</v>
      </c>
      <c r="G223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2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24" spans="1:9" x14ac:dyDescent="0.3">
      <c r="A224">
        <v>220</v>
      </c>
      <c r="G224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2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25" spans="1:9" x14ac:dyDescent="0.3">
      <c r="A225">
        <v>221</v>
      </c>
      <c r="G225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2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26" spans="1:9" x14ac:dyDescent="0.3">
      <c r="A226">
        <v>222</v>
      </c>
      <c r="G226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2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27" spans="1:9" x14ac:dyDescent="0.3">
      <c r="A227">
        <v>223</v>
      </c>
      <c r="G227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2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28" spans="1:9" x14ac:dyDescent="0.3">
      <c r="A228">
        <v>224</v>
      </c>
      <c r="G228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2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29" spans="1:9" x14ac:dyDescent="0.3">
      <c r="A229">
        <v>225</v>
      </c>
      <c r="G229">
        <f>IF(Table3[[#This Row],[Bill Amount For Period Paid or Not]]="Yes", 0, IF(Table3[[#This Row],[Bill Amount For Period Paid or Not]]="Partial", Table3[[#This Row],[Bill Due]]-Table3[[#This Row],[Total Amount Paid]], Table3[[#This Row],[Bill Due]]))</f>
        <v>0</v>
      </c>
      <c r="I22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30" spans="1:9" x14ac:dyDescent="0.3">
      <c r="A230">
        <v>226</v>
      </c>
      <c r="I23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31" spans="1:9" x14ac:dyDescent="0.3">
      <c r="A231">
        <v>227</v>
      </c>
      <c r="I23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32" spans="1:9" x14ac:dyDescent="0.3">
      <c r="A232">
        <v>228</v>
      </c>
      <c r="I23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33" spans="1:9" x14ac:dyDescent="0.3">
      <c r="A233">
        <v>229</v>
      </c>
      <c r="I23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34" spans="1:9" x14ac:dyDescent="0.3">
      <c r="A234">
        <v>230</v>
      </c>
      <c r="I23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35" spans="1:9" x14ac:dyDescent="0.3">
      <c r="A235">
        <v>231</v>
      </c>
      <c r="I23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36" spans="1:9" x14ac:dyDescent="0.3">
      <c r="A236">
        <v>232</v>
      </c>
      <c r="I23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37" spans="1:9" x14ac:dyDescent="0.3">
      <c r="A237">
        <v>233</v>
      </c>
      <c r="I23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38" spans="1:9" x14ac:dyDescent="0.3">
      <c r="A238">
        <v>234</v>
      </c>
      <c r="I23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39" spans="1:9" x14ac:dyDescent="0.3">
      <c r="A239">
        <v>235</v>
      </c>
      <c r="I23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40" spans="1:9" x14ac:dyDescent="0.3">
      <c r="A240">
        <v>236</v>
      </c>
      <c r="I24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41" spans="1:9" x14ac:dyDescent="0.3">
      <c r="A241">
        <v>237</v>
      </c>
      <c r="I24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42" spans="1:9" x14ac:dyDescent="0.3">
      <c r="A242">
        <v>238</v>
      </c>
      <c r="I24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43" spans="1:9" x14ac:dyDescent="0.3">
      <c r="A243">
        <v>239</v>
      </c>
      <c r="I24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44" spans="1:9" x14ac:dyDescent="0.3">
      <c r="A244">
        <v>240</v>
      </c>
      <c r="I24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45" spans="1:9" x14ac:dyDescent="0.3">
      <c r="A245">
        <v>241</v>
      </c>
      <c r="I24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46" spans="1:9" x14ac:dyDescent="0.3">
      <c r="A246">
        <v>242</v>
      </c>
      <c r="I24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47" spans="1:9" x14ac:dyDescent="0.3">
      <c r="A247">
        <v>243</v>
      </c>
      <c r="I24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48" spans="1:9" x14ac:dyDescent="0.3">
      <c r="A248">
        <v>244</v>
      </c>
      <c r="I24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49" spans="1:9" x14ac:dyDescent="0.3">
      <c r="A249">
        <v>245</v>
      </c>
      <c r="I24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50" spans="1:9" x14ac:dyDescent="0.3">
      <c r="A250">
        <v>246</v>
      </c>
      <c r="I25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51" spans="1:9" x14ac:dyDescent="0.3">
      <c r="A251">
        <v>247</v>
      </c>
      <c r="I25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52" spans="1:9" x14ac:dyDescent="0.3">
      <c r="A252">
        <v>248</v>
      </c>
      <c r="I25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53" spans="1:9" x14ac:dyDescent="0.3">
      <c r="A253">
        <v>249</v>
      </c>
      <c r="I25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54" spans="1:9" x14ac:dyDescent="0.3">
      <c r="A254">
        <v>250</v>
      </c>
      <c r="I25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55" spans="1:9" x14ac:dyDescent="0.3">
      <c r="A255">
        <v>251</v>
      </c>
      <c r="I25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56" spans="1:9" x14ac:dyDescent="0.3">
      <c r="A256">
        <v>252</v>
      </c>
      <c r="I25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57" spans="1:9" x14ac:dyDescent="0.3">
      <c r="A257">
        <v>253</v>
      </c>
      <c r="I25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58" spans="1:9" x14ac:dyDescent="0.3">
      <c r="A258">
        <v>254</v>
      </c>
      <c r="I25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59" spans="1:9" x14ac:dyDescent="0.3">
      <c r="A259">
        <v>255</v>
      </c>
      <c r="I25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60" spans="1:9" x14ac:dyDescent="0.3">
      <c r="A260">
        <v>256</v>
      </c>
      <c r="I26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61" spans="1:9" x14ac:dyDescent="0.3">
      <c r="A261">
        <v>257</v>
      </c>
      <c r="I26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62" spans="1:9" x14ac:dyDescent="0.3">
      <c r="A262">
        <v>258</v>
      </c>
      <c r="I26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63" spans="1:9" x14ac:dyDescent="0.3">
      <c r="A263">
        <v>259</v>
      </c>
      <c r="I26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64" spans="1:9" x14ac:dyDescent="0.3">
      <c r="A264">
        <v>260</v>
      </c>
      <c r="I26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65" spans="1:9" x14ac:dyDescent="0.3">
      <c r="A265">
        <v>261</v>
      </c>
      <c r="I26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66" spans="1:9" x14ac:dyDescent="0.3">
      <c r="A266">
        <v>262</v>
      </c>
      <c r="I26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67" spans="1:9" x14ac:dyDescent="0.3">
      <c r="A267">
        <v>263</v>
      </c>
      <c r="I26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68" spans="1:9" x14ac:dyDescent="0.3">
      <c r="A268">
        <v>264</v>
      </c>
      <c r="I26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69" spans="1:9" x14ac:dyDescent="0.3">
      <c r="A269">
        <v>265</v>
      </c>
      <c r="I26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70" spans="1:9" x14ac:dyDescent="0.3">
      <c r="A270">
        <v>266</v>
      </c>
      <c r="I27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71" spans="1:9" x14ac:dyDescent="0.3">
      <c r="A271">
        <v>267</v>
      </c>
      <c r="I27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72" spans="1:9" x14ac:dyDescent="0.3">
      <c r="A272">
        <v>268</v>
      </c>
      <c r="I27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73" spans="1:9" x14ac:dyDescent="0.3">
      <c r="A273">
        <v>269</v>
      </c>
      <c r="I27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74" spans="1:9" x14ac:dyDescent="0.3">
      <c r="A274">
        <v>270</v>
      </c>
      <c r="I27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75" spans="1:9" x14ac:dyDescent="0.3">
      <c r="A275">
        <v>271</v>
      </c>
      <c r="I27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76" spans="1:9" x14ac:dyDescent="0.3">
      <c r="A276">
        <v>272</v>
      </c>
      <c r="I27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77" spans="1:9" x14ac:dyDescent="0.3">
      <c r="A277">
        <v>273</v>
      </c>
      <c r="I27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78" spans="1:9" x14ac:dyDescent="0.3">
      <c r="A278">
        <v>274</v>
      </c>
      <c r="I27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79" spans="1:9" x14ac:dyDescent="0.3">
      <c r="A279">
        <v>275</v>
      </c>
      <c r="I27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80" spans="1:9" x14ac:dyDescent="0.3">
      <c r="A280">
        <v>276</v>
      </c>
      <c r="I28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81" spans="1:9" x14ac:dyDescent="0.3">
      <c r="A281">
        <v>277</v>
      </c>
      <c r="I28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82" spans="1:9" x14ac:dyDescent="0.3">
      <c r="A282">
        <v>278</v>
      </c>
      <c r="I28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83" spans="1:9" x14ac:dyDescent="0.3">
      <c r="A283">
        <v>279</v>
      </c>
      <c r="I28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84" spans="1:9" x14ac:dyDescent="0.3">
      <c r="A284">
        <v>280</v>
      </c>
      <c r="I28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85" spans="1:9" x14ac:dyDescent="0.3">
      <c r="A285">
        <v>281</v>
      </c>
      <c r="I28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86" spans="1:9" x14ac:dyDescent="0.3">
      <c r="A286">
        <v>282</v>
      </c>
      <c r="I28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87" spans="1:9" x14ac:dyDescent="0.3">
      <c r="A287">
        <v>283</v>
      </c>
      <c r="I28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88" spans="1:9" x14ac:dyDescent="0.3">
      <c r="A288">
        <v>284</v>
      </c>
      <c r="I28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89" spans="1:9" x14ac:dyDescent="0.3">
      <c r="A289">
        <v>285</v>
      </c>
      <c r="I28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90" spans="1:9" x14ac:dyDescent="0.3">
      <c r="A290">
        <v>286</v>
      </c>
      <c r="I29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91" spans="1:9" x14ac:dyDescent="0.3">
      <c r="A291">
        <v>287</v>
      </c>
      <c r="I29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92" spans="1:9" x14ac:dyDescent="0.3">
      <c r="A292">
        <v>288</v>
      </c>
      <c r="I29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93" spans="1:9" x14ac:dyDescent="0.3">
      <c r="A293">
        <v>289</v>
      </c>
      <c r="I29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94" spans="1:9" x14ac:dyDescent="0.3">
      <c r="A294">
        <v>290</v>
      </c>
      <c r="I29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95" spans="1:9" x14ac:dyDescent="0.3">
      <c r="A295">
        <v>291</v>
      </c>
      <c r="I29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96" spans="1:9" x14ac:dyDescent="0.3">
      <c r="A296">
        <v>292</v>
      </c>
      <c r="I29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97" spans="1:9" x14ac:dyDescent="0.3">
      <c r="A297">
        <v>293</v>
      </c>
      <c r="I29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98" spans="1:9" x14ac:dyDescent="0.3">
      <c r="A298">
        <v>294</v>
      </c>
      <c r="I29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299" spans="1:9" x14ac:dyDescent="0.3">
      <c r="A299">
        <v>295</v>
      </c>
      <c r="I29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00" spans="1:9" x14ac:dyDescent="0.3">
      <c r="A300">
        <v>296</v>
      </c>
      <c r="I30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01" spans="1:9" x14ac:dyDescent="0.3">
      <c r="A301">
        <v>297</v>
      </c>
      <c r="I30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02" spans="1:9" x14ac:dyDescent="0.3">
      <c r="A302">
        <v>298</v>
      </c>
      <c r="I30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03" spans="1:9" x14ac:dyDescent="0.3">
      <c r="A303">
        <v>299</v>
      </c>
      <c r="I30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04" spans="1:9" x14ac:dyDescent="0.3">
      <c r="A304">
        <v>300</v>
      </c>
      <c r="I30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05" spans="1:9" x14ac:dyDescent="0.3">
      <c r="A305">
        <v>301</v>
      </c>
      <c r="I30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06" spans="1:9" x14ac:dyDescent="0.3">
      <c r="A306">
        <v>302</v>
      </c>
      <c r="I30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07" spans="1:9" x14ac:dyDescent="0.3">
      <c r="A307">
        <v>303</v>
      </c>
      <c r="I30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08" spans="1:9" x14ac:dyDescent="0.3">
      <c r="A308">
        <v>304</v>
      </c>
      <c r="I30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09" spans="1:9" x14ac:dyDescent="0.3">
      <c r="A309">
        <v>305</v>
      </c>
      <c r="I30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10" spans="1:9" x14ac:dyDescent="0.3">
      <c r="A310">
        <v>306</v>
      </c>
      <c r="I31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11" spans="1:9" x14ac:dyDescent="0.3">
      <c r="A311">
        <v>307</v>
      </c>
      <c r="I31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12" spans="1:9" x14ac:dyDescent="0.3">
      <c r="A312">
        <v>308</v>
      </c>
      <c r="I31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13" spans="1:9" x14ac:dyDescent="0.3">
      <c r="A313">
        <v>309</v>
      </c>
      <c r="I31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14" spans="1:9" x14ac:dyDescent="0.3">
      <c r="A314">
        <v>310</v>
      </c>
      <c r="I31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15" spans="1:9" x14ac:dyDescent="0.3">
      <c r="A315">
        <v>311</v>
      </c>
      <c r="I31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16" spans="1:9" x14ac:dyDescent="0.3">
      <c r="A316">
        <v>312</v>
      </c>
      <c r="I31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17" spans="1:9" x14ac:dyDescent="0.3">
      <c r="A317">
        <v>313</v>
      </c>
      <c r="I31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18" spans="1:9" x14ac:dyDescent="0.3">
      <c r="A318">
        <v>314</v>
      </c>
      <c r="I31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19" spans="1:9" x14ac:dyDescent="0.3">
      <c r="A319">
        <v>315</v>
      </c>
      <c r="I31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20" spans="1:9" x14ac:dyDescent="0.3">
      <c r="A320">
        <v>316</v>
      </c>
      <c r="I32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21" spans="1:9" x14ac:dyDescent="0.3">
      <c r="A321">
        <v>317</v>
      </c>
      <c r="I32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22" spans="1:9" x14ac:dyDescent="0.3">
      <c r="A322">
        <v>318</v>
      </c>
      <c r="I32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23" spans="1:9" x14ac:dyDescent="0.3">
      <c r="A323">
        <v>319</v>
      </c>
      <c r="I32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24" spans="1:9" x14ac:dyDescent="0.3">
      <c r="A324">
        <v>320</v>
      </c>
      <c r="I32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25" spans="1:9" x14ac:dyDescent="0.3">
      <c r="A325">
        <v>321</v>
      </c>
      <c r="I32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26" spans="1:9" x14ac:dyDescent="0.3">
      <c r="A326">
        <v>322</v>
      </c>
      <c r="I32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27" spans="1:9" x14ac:dyDescent="0.3">
      <c r="A327">
        <v>323</v>
      </c>
      <c r="I32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28" spans="1:9" x14ac:dyDescent="0.3">
      <c r="A328">
        <v>324</v>
      </c>
      <c r="I32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29" spans="1:9" x14ac:dyDescent="0.3">
      <c r="A329">
        <v>325</v>
      </c>
      <c r="I32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30" spans="1:9" x14ac:dyDescent="0.3">
      <c r="A330">
        <v>326</v>
      </c>
      <c r="I33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31" spans="1:9" x14ac:dyDescent="0.3">
      <c r="A331">
        <v>327</v>
      </c>
      <c r="I33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32" spans="1:9" x14ac:dyDescent="0.3">
      <c r="A332">
        <v>328</v>
      </c>
      <c r="I33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33" spans="1:9" x14ac:dyDescent="0.3">
      <c r="A333">
        <v>329</v>
      </c>
      <c r="I33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34" spans="1:9" x14ac:dyDescent="0.3">
      <c r="A334">
        <v>330</v>
      </c>
      <c r="I33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35" spans="1:9" x14ac:dyDescent="0.3">
      <c r="A335">
        <v>331</v>
      </c>
      <c r="I33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36" spans="1:9" x14ac:dyDescent="0.3">
      <c r="A336">
        <v>332</v>
      </c>
      <c r="I33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37" spans="1:9" x14ac:dyDescent="0.3">
      <c r="A337">
        <v>333</v>
      </c>
      <c r="I33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38" spans="1:9" x14ac:dyDescent="0.3">
      <c r="A338">
        <v>334</v>
      </c>
      <c r="I33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39" spans="1:9" x14ac:dyDescent="0.3">
      <c r="A339">
        <v>335</v>
      </c>
      <c r="I33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40" spans="1:9" x14ac:dyDescent="0.3">
      <c r="A340">
        <v>336</v>
      </c>
      <c r="I34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41" spans="1:9" x14ac:dyDescent="0.3">
      <c r="A341">
        <v>337</v>
      </c>
      <c r="I34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42" spans="1:9" x14ac:dyDescent="0.3">
      <c r="A342">
        <v>338</v>
      </c>
      <c r="I34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43" spans="1:9" x14ac:dyDescent="0.3">
      <c r="A343">
        <v>339</v>
      </c>
      <c r="I34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44" spans="1:9" x14ac:dyDescent="0.3">
      <c r="A344">
        <v>340</v>
      </c>
      <c r="I34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45" spans="1:9" x14ac:dyDescent="0.3">
      <c r="A345">
        <v>341</v>
      </c>
      <c r="I34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46" spans="1:9" x14ac:dyDescent="0.3">
      <c r="A346">
        <v>342</v>
      </c>
      <c r="I34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47" spans="1:9" x14ac:dyDescent="0.3">
      <c r="A347">
        <v>343</v>
      </c>
      <c r="I34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48" spans="1:9" x14ac:dyDescent="0.3">
      <c r="A348">
        <v>344</v>
      </c>
      <c r="I34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49" spans="1:9" x14ac:dyDescent="0.3">
      <c r="A349">
        <v>345</v>
      </c>
      <c r="I34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50" spans="1:9" x14ac:dyDescent="0.3">
      <c r="A350">
        <v>346</v>
      </c>
      <c r="I35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51" spans="1:9" x14ac:dyDescent="0.3">
      <c r="A351">
        <v>347</v>
      </c>
      <c r="I35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52" spans="1:9" x14ac:dyDescent="0.3">
      <c r="A352">
        <v>348</v>
      </c>
      <c r="I35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53" spans="1:9" x14ac:dyDescent="0.3">
      <c r="A353">
        <v>349</v>
      </c>
      <c r="I35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54" spans="1:9" x14ac:dyDescent="0.3">
      <c r="A354">
        <v>350</v>
      </c>
      <c r="I35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55" spans="1:9" x14ac:dyDescent="0.3">
      <c r="A355">
        <v>351</v>
      </c>
      <c r="I35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56" spans="1:9" x14ac:dyDescent="0.3">
      <c r="A356">
        <v>352</v>
      </c>
      <c r="I35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57" spans="1:9" x14ac:dyDescent="0.3">
      <c r="A357">
        <v>353</v>
      </c>
      <c r="I35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58" spans="1:9" x14ac:dyDescent="0.3">
      <c r="A358">
        <v>354</v>
      </c>
      <c r="I35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59" spans="1:9" x14ac:dyDescent="0.3">
      <c r="A359">
        <v>355</v>
      </c>
      <c r="I35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60" spans="1:9" x14ac:dyDescent="0.3">
      <c r="A360">
        <v>356</v>
      </c>
      <c r="I36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61" spans="1:9" x14ac:dyDescent="0.3">
      <c r="A361">
        <v>357</v>
      </c>
      <c r="I36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62" spans="1:9" x14ac:dyDescent="0.3">
      <c r="A362">
        <v>358</v>
      </c>
      <c r="I36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63" spans="1:9" x14ac:dyDescent="0.3">
      <c r="A363">
        <v>359</v>
      </c>
      <c r="I36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64" spans="1:9" x14ac:dyDescent="0.3">
      <c r="A364">
        <v>360</v>
      </c>
      <c r="I36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65" spans="1:9" x14ac:dyDescent="0.3">
      <c r="A365">
        <v>361</v>
      </c>
      <c r="I36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66" spans="1:9" x14ac:dyDescent="0.3">
      <c r="A366">
        <v>362</v>
      </c>
      <c r="I36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67" spans="1:9" x14ac:dyDescent="0.3">
      <c r="A367">
        <v>363</v>
      </c>
      <c r="I36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68" spans="1:9" x14ac:dyDescent="0.3">
      <c r="A368">
        <v>364</v>
      </c>
      <c r="I36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69" spans="1:9" x14ac:dyDescent="0.3">
      <c r="A369">
        <v>365</v>
      </c>
      <c r="I36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70" spans="1:9" x14ac:dyDescent="0.3">
      <c r="A370">
        <v>366</v>
      </c>
      <c r="I37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71" spans="1:9" x14ac:dyDescent="0.3">
      <c r="A371">
        <v>367</v>
      </c>
      <c r="I37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72" spans="1:9" x14ac:dyDescent="0.3">
      <c r="A372">
        <v>368</v>
      </c>
      <c r="I37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73" spans="1:9" x14ac:dyDescent="0.3">
      <c r="A373">
        <v>369</v>
      </c>
      <c r="I37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74" spans="1:9" x14ac:dyDescent="0.3">
      <c r="A374">
        <v>370</v>
      </c>
      <c r="I37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75" spans="1:9" x14ac:dyDescent="0.3">
      <c r="A375">
        <v>371</v>
      </c>
      <c r="I37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76" spans="1:9" x14ac:dyDescent="0.3">
      <c r="A376">
        <v>372</v>
      </c>
      <c r="I37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77" spans="1:9" x14ac:dyDescent="0.3">
      <c r="A377">
        <v>373</v>
      </c>
      <c r="I37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78" spans="1:9" x14ac:dyDescent="0.3">
      <c r="A378">
        <v>374</v>
      </c>
      <c r="I37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79" spans="1:9" x14ac:dyDescent="0.3">
      <c r="A379">
        <v>375</v>
      </c>
      <c r="I37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80" spans="1:9" x14ac:dyDescent="0.3">
      <c r="A380">
        <v>376</v>
      </c>
      <c r="I38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81" spans="1:9" x14ac:dyDescent="0.3">
      <c r="A381">
        <v>377</v>
      </c>
      <c r="I38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82" spans="1:9" x14ac:dyDescent="0.3">
      <c r="A382">
        <v>378</v>
      </c>
      <c r="I38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83" spans="1:9" x14ac:dyDescent="0.3">
      <c r="A383">
        <v>379</v>
      </c>
      <c r="I38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84" spans="1:9" x14ac:dyDescent="0.3">
      <c r="A384">
        <v>380</v>
      </c>
      <c r="I38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85" spans="1:9" x14ac:dyDescent="0.3">
      <c r="A385">
        <v>381</v>
      </c>
      <c r="I38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86" spans="1:9" x14ac:dyDescent="0.3">
      <c r="A386">
        <v>382</v>
      </c>
      <c r="I38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87" spans="1:9" x14ac:dyDescent="0.3">
      <c r="A387">
        <v>383</v>
      </c>
      <c r="I38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88" spans="1:9" x14ac:dyDescent="0.3">
      <c r="A388">
        <v>384</v>
      </c>
      <c r="I38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89" spans="1:9" x14ac:dyDescent="0.3">
      <c r="A389">
        <v>385</v>
      </c>
      <c r="I38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90" spans="1:9" x14ac:dyDescent="0.3">
      <c r="A390">
        <v>386</v>
      </c>
      <c r="I39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91" spans="1:9" x14ac:dyDescent="0.3">
      <c r="A391">
        <v>387</v>
      </c>
      <c r="I39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92" spans="1:9" x14ac:dyDescent="0.3">
      <c r="A392">
        <v>388</v>
      </c>
      <c r="I39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93" spans="1:9" x14ac:dyDescent="0.3">
      <c r="A393">
        <v>389</v>
      </c>
      <c r="I39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94" spans="1:9" x14ac:dyDescent="0.3">
      <c r="A394">
        <v>390</v>
      </c>
      <c r="I39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95" spans="1:9" x14ac:dyDescent="0.3">
      <c r="A395">
        <v>391</v>
      </c>
      <c r="I39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96" spans="1:9" x14ac:dyDescent="0.3">
      <c r="A396">
        <v>392</v>
      </c>
      <c r="I39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97" spans="1:9" x14ac:dyDescent="0.3">
      <c r="A397">
        <v>393</v>
      </c>
      <c r="I39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98" spans="1:9" x14ac:dyDescent="0.3">
      <c r="A398">
        <v>394</v>
      </c>
      <c r="I39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399" spans="1:9" x14ac:dyDescent="0.3">
      <c r="A399">
        <v>395</v>
      </c>
      <c r="I39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00" spans="1:9" x14ac:dyDescent="0.3">
      <c r="A400">
        <v>396</v>
      </c>
      <c r="I40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01" spans="1:9" x14ac:dyDescent="0.3">
      <c r="A401">
        <v>397</v>
      </c>
      <c r="I40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02" spans="1:9" x14ac:dyDescent="0.3">
      <c r="A402">
        <v>398</v>
      </c>
      <c r="I40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03" spans="1:9" x14ac:dyDescent="0.3">
      <c r="A403">
        <v>399</v>
      </c>
      <c r="I40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04" spans="1:9" x14ac:dyDescent="0.3">
      <c r="A404">
        <v>400</v>
      </c>
      <c r="I40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05" spans="1:9" x14ac:dyDescent="0.3">
      <c r="A405">
        <v>401</v>
      </c>
      <c r="I40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06" spans="1:9" x14ac:dyDescent="0.3">
      <c r="A406">
        <v>402</v>
      </c>
      <c r="I40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07" spans="1:9" x14ac:dyDescent="0.3">
      <c r="A407">
        <v>403</v>
      </c>
      <c r="I40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08" spans="1:9" x14ac:dyDescent="0.3">
      <c r="A408">
        <v>404</v>
      </c>
      <c r="I40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09" spans="1:9" x14ac:dyDescent="0.3">
      <c r="A409">
        <v>405</v>
      </c>
      <c r="I40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10" spans="1:9" x14ac:dyDescent="0.3">
      <c r="A410">
        <v>406</v>
      </c>
      <c r="I41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11" spans="1:9" x14ac:dyDescent="0.3">
      <c r="A411">
        <v>407</v>
      </c>
      <c r="I41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12" spans="1:9" x14ac:dyDescent="0.3">
      <c r="A412">
        <v>408</v>
      </c>
      <c r="I41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13" spans="1:9" x14ac:dyDescent="0.3">
      <c r="A413">
        <v>409</v>
      </c>
      <c r="I41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14" spans="1:9" x14ac:dyDescent="0.3">
      <c r="A414">
        <v>410</v>
      </c>
      <c r="I41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15" spans="1:9" x14ac:dyDescent="0.3">
      <c r="A415">
        <v>411</v>
      </c>
      <c r="I41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16" spans="1:9" x14ac:dyDescent="0.3">
      <c r="A416">
        <v>412</v>
      </c>
      <c r="I41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17" spans="1:9" x14ac:dyDescent="0.3">
      <c r="A417">
        <v>413</v>
      </c>
      <c r="I41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18" spans="1:9" x14ac:dyDescent="0.3">
      <c r="A418">
        <v>414</v>
      </c>
      <c r="I41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19" spans="1:9" x14ac:dyDescent="0.3">
      <c r="A419">
        <v>415</v>
      </c>
      <c r="I41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20" spans="1:9" x14ac:dyDescent="0.3">
      <c r="A420">
        <v>416</v>
      </c>
      <c r="I42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21" spans="1:9" x14ac:dyDescent="0.3">
      <c r="A421">
        <v>417</v>
      </c>
      <c r="I42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22" spans="1:9" x14ac:dyDescent="0.3">
      <c r="A422">
        <v>418</v>
      </c>
      <c r="I42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23" spans="1:9" x14ac:dyDescent="0.3">
      <c r="A423">
        <v>419</v>
      </c>
      <c r="I42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24" spans="1:9" x14ac:dyDescent="0.3">
      <c r="A424">
        <v>420</v>
      </c>
      <c r="I42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25" spans="1:9" x14ac:dyDescent="0.3">
      <c r="A425">
        <v>421</v>
      </c>
      <c r="I42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26" spans="1:9" x14ac:dyDescent="0.3">
      <c r="A426">
        <v>422</v>
      </c>
      <c r="I42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27" spans="1:9" x14ac:dyDescent="0.3">
      <c r="A427">
        <v>423</v>
      </c>
      <c r="I42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28" spans="1:9" x14ac:dyDescent="0.3">
      <c r="A428">
        <v>424</v>
      </c>
      <c r="I42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29" spans="1:9" x14ac:dyDescent="0.3">
      <c r="A429">
        <v>425</v>
      </c>
      <c r="I42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30" spans="1:9" x14ac:dyDescent="0.3">
      <c r="A430">
        <v>426</v>
      </c>
      <c r="I43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31" spans="1:9" x14ac:dyDescent="0.3">
      <c r="A431">
        <v>427</v>
      </c>
      <c r="I43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32" spans="1:9" x14ac:dyDescent="0.3">
      <c r="A432">
        <v>428</v>
      </c>
      <c r="I43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33" spans="1:9" x14ac:dyDescent="0.3">
      <c r="A433">
        <v>429</v>
      </c>
      <c r="I43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34" spans="1:9" x14ac:dyDescent="0.3">
      <c r="A434">
        <v>430</v>
      </c>
      <c r="I43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35" spans="1:9" x14ac:dyDescent="0.3">
      <c r="A435">
        <v>431</v>
      </c>
      <c r="I43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36" spans="1:9" x14ac:dyDescent="0.3">
      <c r="A436">
        <v>432</v>
      </c>
      <c r="I43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37" spans="1:9" x14ac:dyDescent="0.3">
      <c r="A437">
        <v>433</v>
      </c>
      <c r="I43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38" spans="1:9" x14ac:dyDescent="0.3">
      <c r="A438">
        <v>434</v>
      </c>
      <c r="I43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39" spans="1:9" x14ac:dyDescent="0.3">
      <c r="A439">
        <v>435</v>
      </c>
      <c r="I43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40" spans="1:9" x14ac:dyDescent="0.3">
      <c r="A440">
        <v>436</v>
      </c>
      <c r="I44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41" spans="1:9" x14ac:dyDescent="0.3">
      <c r="A441">
        <v>437</v>
      </c>
      <c r="I44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42" spans="1:9" x14ac:dyDescent="0.3">
      <c r="A442">
        <v>438</v>
      </c>
      <c r="I44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43" spans="1:9" x14ac:dyDescent="0.3">
      <c r="A443">
        <v>439</v>
      </c>
      <c r="I44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44" spans="1:9" x14ac:dyDescent="0.3">
      <c r="A444">
        <v>440</v>
      </c>
      <c r="I44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45" spans="1:9" x14ac:dyDescent="0.3">
      <c r="A445">
        <v>441</v>
      </c>
      <c r="I44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46" spans="1:9" x14ac:dyDescent="0.3">
      <c r="A446">
        <v>442</v>
      </c>
      <c r="I44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47" spans="1:9" x14ac:dyDescent="0.3">
      <c r="A447">
        <v>443</v>
      </c>
      <c r="I44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48" spans="1:9" x14ac:dyDescent="0.3">
      <c r="A448">
        <v>444</v>
      </c>
      <c r="I44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49" spans="1:9" x14ac:dyDescent="0.3">
      <c r="A449">
        <v>445</v>
      </c>
      <c r="I44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50" spans="1:9" x14ac:dyDescent="0.3">
      <c r="A450">
        <v>446</v>
      </c>
      <c r="I45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51" spans="1:9" x14ac:dyDescent="0.3">
      <c r="A451">
        <v>447</v>
      </c>
      <c r="I45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52" spans="1:9" x14ac:dyDescent="0.3">
      <c r="A452">
        <v>448</v>
      </c>
      <c r="I45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53" spans="1:9" x14ac:dyDescent="0.3">
      <c r="A453">
        <v>449</v>
      </c>
      <c r="I45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54" spans="1:9" x14ac:dyDescent="0.3">
      <c r="A454">
        <v>450</v>
      </c>
      <c r="I45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55" spans="1:9" x14ac:dyDescent="0.3">
      <c r="A455">
        <v>451</v>
      </c>
      <c r="I45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56" spans="1:9" x14ac:dyDescent="0.3">
      <c r="A456">
        <v>452</v>
      </c>
      <c r="I45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57" spans="1:9" x14ac:dyDescent="0.3">
      <c r="A457">
        <v>453</v>
      </c>
      <c r="I45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58" spans="1:9" x14ac:dyDescent="0.3">
      <c r="A458">
        <v>454</v>
      </c>
      <c r="I45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59" spans="1:9" x14ac:dyDescent="0.3">
      <c r="A459">
        <v>455</v>
      </c>
      <c r="I45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60" spans="1:9" x14ac:dyDescent="0.3">
      <c r="A460">
        <v>456</v>
      </c>
      <c r="I46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61" spans="1:9" x14ac:dyDescent="0.3">
      <c r="A461">
        <v>457</v>
      </c>
      <c r="I46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62" spans="1:9" x14ac:dyDescent="0.3">
      <c r="A462">
        <v>458</v>
      </c>
      <c r="I46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63" spans="1:9" x14ac:dyDescent="0.3">
      <c r="A463">
        <v>459</v>
      </c>
      <c r="I46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64" spans="1:9" x14ac:dyDescent="0.3">
      <c r="A464">
        <v>460</v>
      </c>
      <c r="I46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65" spans="1:9" x14ac:dyDescent="0.3">
      <c r="A465">
        <v>461</v>
      </c>
      <c r="I46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66" spans="1:9" x14ac:dyDescent="0.3">
      <c r="A466">
        <v>462</v>
      </c>
      <c r="I46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67" spans="1:9" x14ac:dyDescent="0.3">
      <c r="A467">
        <v>463</v>
      </c>
      <c r="I46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68" spans="1:9" x14ac:dyDescent="0.3">
      <c r="A468">
        <v>464</v>
      </c>
      <c r="I46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69" spans="1:9" x14ac:dyDescent="0.3">
      <c r="A469">
        <v>465</v>
      </c>
      <c r="I46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70" spans="1:9" x14ac:dyDescent="0.3">
      <c r="A470">
        <v>466</v>
      </c>
      <c r="I47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71" spans="1:9" x14ac:dyDescent="0.3">
      <c r="A471">
        <v>467</v>
      </c>
      <c r="I471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72" spans="1:9" x14ac:dyDescent="0.3">
      <c r="A472">
        <v>468</v>
      </c>
      <c r="I472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73" spans="1:9" x14ac:dyDescent="0.3">
      <c r="A473">
        <v>469</v>
      </c>
      <c r="I473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74" spans="1:9" x14ac:dyDescent="0.3">
      <c r="A474">
        <v>470</v>
      </c>
      <c r="I474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75" spans="1:9" x14ac:dyDescent="0.3">
      <c r="A475">
        <v>471</v>
      </c>
      <c r="I475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76" spans="1:9" x14ac:dyDescent="0.3">
      <c r="A476">
        <v>472</v>
      </c>
      <c r="I476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77" spans="1:9" x14ac:dyDescent="0.3">
      <c r="A477">
        <v>473</v>
      </c>
      <c r="I477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78" spans="1:9" x14ac:dyDescent="0.3">
      <c r="A478">
        <v>474</v>
      </c>
      <c r="I478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79" spans="1:9" x14ac:dyDescent="0.3">
      <c r="A479">
        <v>475</v>
      </c>
      <c r="I479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  <row r="480" spans="1:9" x14ac:dyDescent="0.3">
      <c r="A480">
        <v>476</v>
      </c>
      <c r="I480" t="str">
        <f ca="1">IF(Table3[[#This Row],[Vendor Name]]&lt;&gt;"",IF(DAY(_xlfn.NUMBERVALUE(TODAY()))&gt;=DAY($B$1),VLOOKUP(MONTH(TODAY()),$R$3:$S$15, 2, FALSE)-1-(DAY(TODAY())-DAY($B$1)), DAY($B$1)-DAY(_xlfn.NUMBERVALUE(TODAY()))-1),"")</f>
        <v/>
      </c>
    </row>
  </sheetData>
  <conditionalFormatting sqref="H5:H234">
    <cfRule type="cellIs" dxfId="6" priority="7" operator="equal">
      <formula>"Yes"</formula>
    </cfRule>
    <cfRule type="cellIs" dxfId="5" priority="8" operator="equal">
      <formula>"No"</formula>
    </cfRule>
  </conditionalFormatting>
  <conditionalFormatting sqref="H5:H229">
    <cfRule type="expression" dxfId="4" priority="6">
      <formula>H5="Partial"</formula>
    </cfRule>
  </conditionalFormatting>
  <conditionalFormatting sqref="I5:I480">
    <cfRule type="cellIs" dxfId="3" priority="2" operator="between">
      <formula>10</formula>
      <formula>30</formula>
    </cfRule>
    <cfRule type="cellIs" dxfId="2" priority="3" operator="between">
      <formula>4</formula>
      <formula>10</formula>
    </cfRule>
    <cfRule type="cellIs" dxfId="1" priority="5" operator="lessThanOrEqual">
      <formula>3</formula>
    </cfRule>
  </conditionalFormatting>
  <conditionalFormatting sqref="G5:G229">
    <cfRule type="cellIs" dxfId="0" priority="1" operator="greaterThan">
      <formula>2000</formula>
    </cfRule>
  </conditionalFormatting>
  <dataValidations count="1">
    <dataValidation type="list" allowBlank="1" showInputMessage="1" showErrorMessage="1" sqref="H5:H234" xr:uid="{AE5B0073-9116-483C-A4F1-C43062E5A978}">
      <formula1>$P$5:$P$7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137BCB-C668-4615-9478-D5011DA00E4C}">
          <x14:formula1>
            <xm:f>'Expense Headers'!$I$2:$I$7</xm:f>
          </x14:formula1>
          <xm:sqref>B454:B480 B5:B452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All Data - Savings</vt:lpstr>
      <vt:lpstr>All Data - Credit</vt:lpstr>
      <vt:lpstr>ICICI Raw Data</vt:lpstr>
      <vt:lpstr>Data Cleaning - ICICI</vt:lpstr>
      <vt:lpstr>Run_Macro</vt:lpstr>
      <vt:lpstr>HSBC Raw Data</vt:lpstr>
      <vt:lpstr>Capital and Fixed Expenses</vt:lpstr>
      <vt:lpstr>Expense Headers</vt:lpstr>
      <vt:lpstr>Credit Card Bills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Ansh Tangri</dc:creator>
  <cp:lastModifiedBy>Ansh Tangri</cp:lastModifiedBy>
  <dcterms:created xsi:type="dcterms:W3CDTF">2015-06-05T18:17:20Z</dcterms:created>
  <dcterms:modified xsi:type="dcterms:W3CDTF">2023-11-13T13:16:36Z</dcterms:modified>
</cp:coreProperties>
</file>